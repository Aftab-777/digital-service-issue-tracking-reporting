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0654c151ef4e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faee4d35b4463a"/>
    <x:sheet xmlns:r="http://schemas.openxmlformats.org/officeDocument/2006/relationships" name="Requests" sheetId="2" r:id="R86b0f03cfbb546cb"/>
    <x:sheet xmlns:r="http://schemas.openxmlformats.org/officeDocument/2006/relationships" name="Instructions" sheetId="3" r:id="R4a66799afcd145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8">
    <x:font>
      <x:sz val="11"/>
      <x:name val="Carlito"/>
    </x:font>
    <x:font>
      <x:b/>
      <x:sz val="18"/>
      <x:color rgb="FFFFFFFF"/>
      <x:name val="Aptos Display"/>
    </x:font>
    <x:font>
      <x:sz val="11"/>
      <x:color rgb="FF536B7B"/>
      <x:name val="Aptos"/>
    </x:font>
    <x:font>
      <x:b/>
      <x:sz val="12"/>
      <x:color rgb="FF17324D"/>
      <x:name val="Aptos"/>
    </x:font>
    <x:font>
      <x:b/>
      <x:sz val="11"/>
      <x:color rgb="FFFFFFFF"/>
      <x:name val="Aptos"/>
    </x:font>
    <x:font>
      <x:sz val="10"/>
      <x:color rgb="FF536B7B"/>
      <x:name val="Aptos"/>
    </x:font>
    <x:font>
      <x:b/>
      <x:sz val="11"/>
      <x:color rgb="FF17324D"/>
      <x:name val="Aptos"/>
    </x:font>
    <x:font>
      <x:sz val="1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D9"/>
      </x:patternFill>
    </x:fill>
    <x:fill>
      <x:patternFill patternType="solid">
        <x:fgColor rgb="FF2A7F7F"/>
      </x:patternFill>
    </x:fill>
    <x:fill>
      <x:patternFill patternType="solid">
        <x:fgColor rgb="FFEAF2F4"/>
      </x:patternFill>
    </x:fill>
  </x:fills>
  <x:borders count="1">
    <x:border/>
  </x:borders>
  <x:cellStyleXfs count="1">
    <x:xf numFmtId="0" fontId="0" fillId="0" borderId="0"/>
  </x:cellStyleXfs>
  <x:cellXfs count="37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200" fontId="3" fillId="3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201" fontId="7" fillId="0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ont>
        <x:b/>
        <x:color rgb="FF8A2D16"/>
      </x:font>
      <x:fill>
        <x:patternFill patternType="solid">
          <x:bgColor rgb="FFFCE5D5"/>
        </x:patternFill>
      </x:fill>
    </x:dxf>
    <x:dxf>
      <x:font>
        <x:b/>
        <x:color rgb="FF75510D"/>
      </x:font>
      <x:fill>
        <x:patternFill patternType="solid">
          <x:bgColor rgb="FFFFF2D9"/>
        </x:patternFill>
      </x:fill>
    </x:dxf>
    <x:dxf>
      <x:font>
        <x:b/>
        <x:color rgb="FF8A2D16"/>
      </x:font>
      <x:fill>
        <x:patternFill patternType="solid">
          <x:bgColor rgb="FFFCE5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a0efcaff2542a8" /><Relationship Type="http://schemas.openxmlformats.org/officeDocument/2006/relationships/theme" Target="/xl/theme/theme1.xml" Id="R93b765c782a74516" /><Relationship Type="http://schemas.openxmlformats.org/officeDocument/2006/relationships/sharedStrings" Target="/xl/sharedStrings.xml" Id="Rdc081ec654df4c49" /><Relationship Type="http://schemas.openxmlformats.org/officeDocument/2006/relationships/worksheet" Target="/xl/worksheets/sheet1.xml" Id="R01faee4d35b4463a" /><Relationship Type="http://schemas.openxmlformats.org/officeDocument/2006/relationships/worksheet" Target="/xl/worksheets/sheet2.xml" Id="R86b0f03cfbb546cb" /><Relationship Type="http://schemas.openxmlformats.org/officeDocument/2006/relationships/worksheet" Target="/xl/worksheets/sheet3.xml" Id="R4a66799afcd145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82dde5572df47a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ptos"/>
                <a:ea typeface="Aptos"/>
                <a:cs typeface="Aptos"/>
              </a:rPr>
              <a:t>Requests by status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ptos"/>
              <a:ea typeface="Aptos"/>
              <a:cs typeface="Aptos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Requests</c:v>
          </c:tx>
          <c:cat>
            <c:strRef>
              <c:f>'Summary'!$A$12:$A$15</c:f>
              <c:strCache>
                <c:ptCount val="0"/>
              </c:strCache>
            </c:strRef>
          </c:cat>
          <c:val>
            <c:numRef>
              <c:f>'Summary'!$B$12:$B$15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17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2dde5572df47a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questsTable" displayName="RequestsTable" ref="A6:R42" headerRowCount="1" totalsRowCount="0" totalsRowShown="0">
  <x:autoFilter ref="A6:R42"/>
  <x:tableColumns count="18">
    <x:tableColumn id="1" name="Request ID"/>
    <x:tableColumn id="2" name="Date received"/>
    <x:tableColumn id="3" name="Request category"/>
    <x:tableColumn id="4" name="Short description"/>
    <x:tableColumn id="5" name="Priority"/>
    <x:tableColumn id="6" name="Assigned owner"/>
    <x:tableColumn id="7" name="Status"/>
    <x:tableColumn id="8" name="Target completion date"/>
    <x:tableColumn id="9" name="Last update date"/>
    <x:tableColumn id="10" name="Next action"/>
    <x:tableColumn id="11" name="Closed date"/>
    <x:tableColumn id="12" name="Blocker or dependency"/>
    <x:tableColumn id="13" name="Source or evidence note"/>
    <x:tableColumn id="14" name="Age days"/>
    <x:tableColumn id="15" name="Overdue"/>
    <x:tableColumn id="16" name="Missing owner"/>
    <x:tableColumn id="17" name="Data issue"/>
    <x:tableColumn id="18" name="Open 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perations Request Tracker">
  <a:themeElements>
    <a:clrScheme name="Operations Request Tracker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perations Request Tracker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2b5cac4057443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31bcb34ec042b1" /></Relationships>
</file>

<file path=xl/worksheets/sheet1.xml><?xml version="1.0" encoding="utf-8"?>
<x:worksheet xmlns:x="http://schemas.openxmlformats.org/spreadsheetml/2006/main">
  <x:sheetPr>
    <x:tabColor rgb="FF1B4965"/>
  </x:sheetPr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7" hidden="0" customWidth="1"/>
    <x:col min="4" max="4" width="22" hidden="0" customWidth="1"/>
    <x:col min="5" max="5" width="15" hidden="0" customWidth="1"/>
    <x:col min="6" max="6" width="16" hidden="0" customWidth="1"/>
    <x:col min="7" max="7" width="20" hidden="0" customWidth="1"/>
    <x:col min="8" max="8" width="16" hidden="0" customWidth="1"/>
    <x:col min="9" max="9" width="4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</x:cols>
  <x:sheetData>
    <x:row r="1">
      <x:c r="A1" s="11" t="str">
        <x:v>Operations request summary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</x:row>
    <x:row r="2">
      <x:c r="A2" s="33" t="str">
        <x:v>Personal portfolio simulation | Synthetic requests | Baseline reports use 2026-10-07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</x:row>
    <x:row r="3">
      <x:c r="A3" s="13"/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</x:row>
    <x:row r="4">
      <x:c r="A4" s="13" t="str">
        <x:v>As of</x:v>
      </x:c>
      <x:c r="B4" s="34" t="n">
        <x:f>Instructions!$B$4</x:f>
        <x:v>46302.5</x:v>
      </x:c>
      <x:c r="C4" s="13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  <x:c r="M5" s="13"/>
      <x:c r="N5" s="13"/>
      <x:c r="O5" s="13"/>
      <x:c r="P5" s="13"/>
      <x:c r="Q5" s="13"/>
    </x:row>
    <x:row r="6" ht="35" customHeight="1">
      <x:c r="A6" s="35" t="str">
        <x:v>Total</x:v>
      </x:c>
      <x:c r="B6" s="35" t="n">
        <x:f>COUNTIFS(Requests!$A$7:$A$200,"&lt;&gt;")</x:f>
        <x:v>36</x:v>
      </x:c>
      <x:c r="C6" s="36" t="str">
        <x:v>Open</x:v>
      </x:c>
      <x:c r="D6" s="35" t="n">
        <x:f>SUM(Requests!$R$7:$R$200)</x:f>
        <x:v>22</x:v>
      </x:c>
      <x:c r="E6" s="36" t="str">
        <x:v>Overdue</x:v>
      </x:c>
      <x:c r="F6" s="35" t="n">
        <x:f>COUNTIFS(Requests!$O$7:$O$200,"Yes")</x:f>
        <x:v>9</x:v>
      </x:c>
      <x:c r="G6" s="36" t="str">
        <x:v>Blocked</x:v>
      </x:c>
      <x:c r="H6" s="35" t="n">
        <x:f>COUNTIFS(Requests!$G$7:$G$200,"Blocked")</x:f>
        <x:v>6</x:v>
      </x:c>
      <x:c r="I6" s="13"/>
      <x:c r="J6" s="13"/>
      <x:c r="K6" s="13"/>
      <x:c r="L6" s="13"/>
      <x:c r="M6" s="13"/>
      <x:c r="N6" s="13"/>
      <x:c r="O6" s="13"/>
      <x:c r="P6" s="13"/>
      <x:c r="Q6" s="13"/>
    </x:row>
    <x:row r="7" ht="35" customHeight="1">
      <x:c r="A7" s="35"/>
      <x:c r="B7" s="35"/>
      <x:c r="C7" s="35"/>
      <x:c r="D7" s="35"/>
      <x:c r="E7" s="35"/>
      <x:c r="F7" s="35"/>
      <x:c r="G7" s="35"/>
      <x:c r="H7" s="35"/>
      <x:c r="I7" s="13"/>
      <x:c r="J7" s="13"/>
      <x:c r="K7" s="13"/>
      <x:c r="L7" s="13"/>
      <x:c r="M7" s="13"/>
      <x:c r="N7" s="13"/>
      <x:c r="O7" s="13"/>
      <x:c r="P7" s="13"/>
      <x:c r="Q7" s="13"/>
    </x:row>
    <x:row r="8" ht="35" customHeight="1">
      <x:c r="A8" s="35" t="str">
        <x:v>Missing owner</x:v>
      </x:c>
      <x:c r="B8" s="35" t="n">
        <x:f>COUNTIFS(Requests!$P$7:$P$200,"Yes")</x:f>
        <x:v>2</x:v>
      </x:c>
      <x:c r="C8" s="36" t="str">
        <x:v>Data issue</x:v>
      </x:c>
      <x:c r="D8" s="35" t="n">
        <x:f>COUNTIFS(Requests!$Q$7:$Q$200,"Review")</x:f>
        <x:v>2</x:v>
      </x:c>
      <x:c r="E8" s="36" t="str">
        <x:v>High priority open</x:v>
      </x:c>
      <x:c r="F8" s="35" t="n">
        <x:f>COUNTIFS(Requests!$E$7:$E$200,"High",Requests!$R$7:$R$200,1)</x:f>
        <x:v>6</x:v>
      </x:c>
      <x:c r="G8" s="36" t="str">
        <x:v>Completed</x:v>
      </x:c>
      <x:c r="H8" s="35" t="n">
        <x:f>COUNTIFS(Requests!$G$7:$G$200,"Completed")</x:f>
        <x:v>14</x:v>
      </x:c>
      <x:c r="I8" s="13"/>
      <x:c r="J8" s="13"/>
      <x:c r="K8" s="13"/>
      <x:c r="L8" s="13"/>
      <x:c r="M8" s="13"/>
      <x:c r="N8" s="13"/>
      <x:c r="O8" s="13"/>
      <x:c r="P8" s="13"/>
      <x:c r="Q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  <x:c r="M10" s="13"/>
      <x:c r="N10" s="13"/>
      <x:c r="O10" s="13"/>
      <x:c r="P10" s="13"/>
      <x:c r="Q10" s="13"/>
    </x:row>
    <x:row r="11">
      <x:c r="A11" s="16" t="str">
        <x:v>Status</x:v>
      </x:c>
      <x:c r="B11" s="16" t="str">
        <x:v>Requests</x:v>
      </x:c>
      <x:c r="C11" s="13"/>
      <x:c r="D11" s="16" t="str">
        <x:v>Category</x:v>
      </x:c>
      <x:c r="E11" s="16" t="str">
        <x:v>Requests</x:v>
      </x:c>
      <x:c r="F11" s="13"/>
      <x:c r="G11" s="16" t="str">
        <x:v>Priority</x:v>
      </x:c>
      <x:c r="H11" s="16" t="str">
        <x:v>Requests</x:v>
      </x:c>
      <x:c r="I11" s="13"/>
      <x:c r="J11" s="13"/>
      <x:c r="K11" s="13"/>
      <x:c r="L11" s="13"/>
      <x:c r="M11" s="13"/>
      <x:c r="N11" s="13"/>
      <x:c r="O11" s="13"/>
      <x:c r="P11" s="13"/>
      <x:c r="Q11" s="13"/>
    </x:row>
    <x:row r="12">
      <x:c r="A12" s="13" t="str">
        <x:v>New</x:v>
      </x:c>
      <x:c r="B12" s="13" t="n">
        <x:f>COUNTIFS(Requests!$G$7:$G$200,A12)</x:f>
        <x:v>7</x:v>
      </x:c>
      <x:c r="C12" s="13"/>
      <x:c r="D12" s="13" t="str">
        <x:v>Access</x:v>
      </x:c>
      <x:c r="E12" s="13" t="n">
        <x:f>COUNTIFS(Requests!$C$7:$C$200,D12)</x:f>
        <x:v>8</x:v>
      </x:c>
      <x:c r="F12" s="13"/>
      <x:c r="G12" s="13" t="str">
        <x:v>High</x:v>
      </x:c>
      <x:c r="H12" s="13" t="n">
        <x:f>COUNTIFS(Requests!$E$7:$E$200,G12)</x:f>
        <x:v>8</x:v>
      </x:c>
      <x:c r="I12" s="13"/>
      <x:c r="J12" s="13"/>
      <x:c r="K12" s="13"/>
      <x:c r="L12" s="13"/>
      <x:c r="M12" s="13"/>
      <x:c r="N12" s="13"/>
      <x:c r="O12" s="13"/>
      <x:c r="P12" s="13"/>
      <x:c r="Q12" s="13"/>
    </x:row>
    <x:row r="13">
      <x:c r="A13" s="13" t="str">
        <x:v>In Progress</x:v>
      </x:c>
      <x:c r="B13" s="13" t="n">
        <x:f>COUNTIFS(Requests!$G$7:$G$200,A13)</x:f>
        <x:v>9</x:v>
      </x:c>
      <x:c r="C13" s="13"/>
      <x:c r="D13" s="13" t="str">
        <x:v>Information</x:v>
      </x:c>
      <x:c r="E13" s="13" t="n">
        <x:f>COUNTIFS(Requests!$C$7:$C$200,D13)</x:f>
        <x:v>7</x:v>
      </x:c>
      <x:c r="F13" s="13"/>
      <x:c r="G13" s="13" t="str">
        <x:v>Medium</x:v>
      </x:c>
      <x:c r="H13" s="13" t="n">
        <x:f>COUNTIFS(Requests!$E$7:$E$200,G13)</x:f>
        <x:v>19</x:v>
      </x:c>
      <x:c r="I13" s="13"/>
      <x:c r="J13" s="13"/>
      <x:c r="K13" s="13"/>
      <x:c r="L13" s="13"/>
      <x:c r="M13" s="13"/>
      <x:c r="N13" s="13"/>
      <x:c r="O13" s="13"/>
      <x:c r="P13" s="13"/>
      <x:c r="Q13" s="13"/>
    </x:row>
    <x:row r="14">
      <x:c r="A14" s="13" t="str">
        <x:v>Blocked</x:v>
      </x:c>
      <x:c r="B14" s="13" t="n">
        <x:f>COUNTIFS(Requests!$G$7:$G$200,A14)</x:f>
        <x:v>6</x:v>
      </x:c>
      <x:c r="C14" s="13"/>
      <x:c r="D14" s="13" t="str">
        <x:v>Reporting</x:v>
      </x:c>
      <x:c r="E14" s="13" t="n">
        <x:f>COUNTIFS(Requests!$C$7:$C$200,D14)</x:f>
        <x:v>7</x:v>
      </x:c>
      <x:c r="F14" s="13"/>
      <x:c r="G14" s="13" t="str">
        <x:v>Low</x:v>
      </x:c>
      <x:c r="H14" s="13" t="n">
        <x:f>COUNTIFS(Requests!$E$7:$E$200,G14)</x:f>
        <x:v>9</x:v>
      </x:c>
      <x:c r="I14" s="13"/>
      <x:c r="J14" s="13"/>
      <x:c r="K14" s="13"/>
      <x:c r="L14" s="13"/>
      <x:c r="M14" s="13"/>
      <x:c r="N14" s="13"/>
      <x:c r="O14" s="13"/>
      <x:c r="P14" s="13"/>
      <x:c r="Q14" s="13"/>
    </x:row>
    <x:row r="15">
      <x:c r="A15" s="13" t="str">
        <x:v>Completed</x:v>
      </x:c>
      <x:c r="B15" s="13" t="n">
        <x:f>COUNTIFS(Requests!$G$7:$G$200,A15)</x:f>
        <x:v>14</x:v>
      </x:c>
      <x:c r="C15" s="13"/>
      <x:c r="D15" s="13" t="str">
        <x:v>Workflow</x:v>
      </x:c>
      <x:c r="E15" s="13" t="n">
        <x:f>COUNTIFS(Requests!$C$7:$C$200,D15)</x:f>
        <x:v>7</x:v>
      </x:c>
      <x:c r="F15" s="13"/>
      <x:c r="G15" s="13"/>
      <x:c r="H15" s="13"/>
      <x:c r="I15" s="13"/>
      <x:c r="J15" s="13"/>
      <x:c r="K15" s="13"/>
      <x:c r="L15" s="13"/>
      <x:c r="M15" s="13"/>
      <x:c r="N15" s="13"/>
      <x:c r="O15" s="13"/>
      <x:c r="P15" s="13"/>
      <x:c r="Q15" s="13"/>
    </x:row>
    <x:row r="16">
      <x:c r="A16" s="13"/>
      <x:c r="B16" s="13"/>
      <x:c r="C16" s="13"/>
      <x:c r="D16" s="13" t="str">
        <x:v>Document</x:v>
      </x:c>
      <x:c r="E16" s="13" t="n">
        <x:f>COUNTIFS(Requests!$C$7:$C$200,D16)</x:f>
        <x:v>7</x:v>
      </x:c>
      <x:c r="F16" s="13"/>
      <x:c r="G16" s="13"/>
      <x:c r="H16" s="13"/>
      <x:c r="I16" s="13"/>
      <x:c r="J16" s="13"/>
      <x:c r="K16" s="13"/>
      <x:c r="L16" s="13"/>
      <x:c r="M16" s="13"/>
      <x:c r="N16" s="13"/>
      <x:c r="O16" s="13"/>
      <x:c r="P16" s="13"/>
      <x:c r="Q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  <x:c r="O17" s="13"/>
      <x:c r="P17" s="13"/>
      <x:c r="Q17" s="13"/>
    </x:row>
    <x:row r="18">
      <x:c r="A18" s="16" t="str">
        <x:v>Reconciliation</x:v>
      </x:c>
      <x:c r="B18" s="16" t="str">
        <x:v>Result</x:v>
      </x:c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  <x:c r="O18" s="13"/>
      <x:c r="P18" s="13"/>
      <x:c r="Q18" s="13"/>
    </x:row>
    <x:row r="19">
      <x:c r="A19" s="13" t="str">
        <x:v>Status total equals all requests</x:v>
      </x:c>
      <x:c r="B19" s="13" t="str">
        <x:f>IF(SUM(B12:B15)=B6,"PASS","CHECK")</x:f>
        <x:v>PASS</x:v>
      </x:c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  <x:c r="O19" s="13"/>
      <x:c r="P19" s="13"/>
      <x:c r="Q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  <x:c r="O20" s="13"/>
      <x:c r="P20" s="13"/>
      <x:c r="Q20" s="13"/>
    </x:row>
    <x:row r="21">
      <x:c r="A21" s="13" t="str">
        <x:v>Blocked and overdue can overlap. DS-034 has an invalid target and is in Overdue; check data before reporting.</x:v>
      </x:c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  <x:c r="O21" s="13"/>
      <x:c r="P21" s="13"/>
      <x:c r="Q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  <x:c r="O22" s="13"/>
      <x:c r="P22" s="13"/>
      <x:c r="Q22" s="13"/>
    </x:row>
    <x:row r="23">
      <x:c r="A23" s="13" t="str">
        <x:v>Formula summaries include rows 7–200. Extend this range if the tracker grows beyond row 200.</x:v>
      </x:c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  <x:c r="O23" s="13"/>
      <x:c r="P23" s="13"/>
      <x:c r="Q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  <x:c r="O24" s="13"/>
      <x:c r="P24" s="13"/>
      <x:c r="Q24" s="13"/>
    </x:row>
  </x:sheetData>
  <x:mergeCells>
    <x:mergeCell ref="A1:Q1"/>
    <x:mergeCell ref="A2:Q2"/>
    <x:mergeCell ref="A21:H21"/>
    <x:mergeCell ref="A23:H23"/>
  </x:mergeCells>
  <x:pageMargins left="0.7" right="0.7" top="0.75" bottom="0.75" header="0.3" footer="0.3"/>
  <x:drawing xmlns:r="http://schemas.openxmlformats.org/officeDocument/2006/relationships" r:id="Rc2b5cac405744323"/>
</x:worksheet>
</file>

<file path=xl/worksheets/sheet2.xml><?xml version="1.0" encoding="utf-8"?>
<x:worksheet xmlns:x="http://schemas.openxmlformats.org/spreadsheetml/2006/main">
  <x:sheetPr>
    <x:tabColor rgb="FF2A7F7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7" hidden="0" customWidth="1"/>
    <x:col min="3" max="3" width="18" hidden="0" customWidth="1"/>
    <x:col min="4" max="4" width="43" hidden="0" customWidth="1"/>
    <x:col min="5" max="5" width="12" hidden="0" customWidth="1"/>
    <x:col min="6" max="6" width="22" hidden="0" customWidth="1"/>
    <x:col min="7" max="7" width="16" hidden="0" customWidth="1"/>
    <x:col min="8" max="8" width="19" hidden="0" customWidth="1"/>
    <x:col min="9" max="9" width="19" hidden="0" customWidth="1"/>
    <x:col min="10" max="10" width="39" hidden="0" customWidth="1"/>
    <x:col min="11" max="11" width="17" hidden="0" customWidth="1"/>
    <x:col min="12" max="12" width="30" hidden="0" customWidth="1"/>
    <x:col min="13" max="13" width="31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>
      <x:c r="A1" s="3" t="str">
        <x:v>Operations requests | synthetic portfolio data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s="18" t="str">
        <x:v>Blue headers filter the table. Enter data in A:M; N:R are calculated. See Instructions for the as-of date.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</x:row>
    <x:row r="4">
      <x:c r="A4" s="19" t="str">
        <x:v>As of</x:v>
      </x:c>
      <x:c r="B4" s="20" t="n">
        <x:f>Instructions!$B$4</x:f>
        <x:v>46302.5</x:v>
      </x:c>
    </x:row>
    <x:row r="6" ht="36" customHeight="1">
      <x:c r="A6" s="27" t="str">
        <x:v>Request ID</x:v>
      </x:c>
      <x:c r="B6" s="27" t="str">
        <x:v>Date received</x:v>
      </x:c>
      <x:c r="C6" s="27" t="str">
        <x:v>Request category</x:v>
      </x:c>
      <x:c r="D6" s="27" t="str">
        <x:v>Short description</x:v>
      </x:c>
      <x:c r="E6" s="27" t="str">
        <x:v>Priority</x:v>
      </x:c>
      <x:c r="F6" s="27" t="str">
        <x:v>Assigned owner</x:v>
      </x:c>
      <x:c r="G6" s="27" t="str">
        <x:v>Status</x:v>
      </x:c>
      <x:c r="H6" s="27" t="str">
        <x:v>Target completion date</x:v>
      </x:c>
      <x:c r="I6" s="27" t="str">
        <x:v>Last update date</x:v>
      </x:c>
      <x:c r="J6" s="27" t="str">
        <x:v>Next action</x:v>
      </x:c>
      <x:c r="K6" s="27" t="str">
        <x:v>Closed date</x:v>
      </x:c>
      <x:c r="L6" s="27" t="str">
        <x:v>Blocker or dependency</x:v>
      </x:c>
      <x:c r="M6" s="27" t="str">
        <x:v>Source or evidence note</x:v>
      </x:c>
      <x:c r="N6" s="27" t="str">
        <x:v>Age days</x:v>
      </x:c>
      <x:c r="O6" s="27" t="str">
        <x:v>Overdue</x:v>
      </x:c>
      <x:c r="P6" s="27" t="str">
        <x:v>Missing owner</x:v>
      </x:c>
      <x:c r="Q6" s="27" t="str">
        <x:v>Data issue</x:v>
      </x:c>
      <x:c r="R6" s="27" t="str">
        <x:v>Open flag</x:v>
      </x:c>
    </x:row>
    <x:row r="7">
      <x:c r="A7" s="27" t="str">
        <x:v>DS-001</x:v>
      </x:c>
      <x:c r="B7" s="28" t="n">
        <x:v>46266.5</x:v>
      </x:c>
      <x:c r="C7" s="27" t="str">
        <x:v>Access</x:v>
      </x:c>
      <x:c r="D7" s="27" t="str">
        <x:v>New starter cannot open shared library</x:v>
      </x:c>
      <x:c r="E7" s="27" t="str">
        <x:v>High</x:v>
      </x:c>
      <x:c r="F7" s="27" t="str">
        <x:v>Access Analyst</x:v>
      </x:c>
      <x:c r="G7" s="27" t="str">
        <x:v>Completed</x:v>
      </x:c>
      <x:c r="H7" s="28" t="n">
        <x:v>46268.5</x:v>
      </x:c>
      <x:c r="I7" s="28" t="n">
        <x:v>46268.5</x:v>
      </x:c>
      <x:c r="J7" s="27" t="str">
        <x:v>Confirm access with requester</x:v>
      </x:c>
      <x:c r="K7" s="28" t="n">
        <x:v>46268.5</x:v>
      </x:c>
      <x:c r="L7" s="27"/>
      <x:c r="M7" s="27" t="str">
        <x:v>Synthetic ticket note</x:v>
      </x:c>
      <x:c r="N7" s="29" t="n">
        <x:f>IF(A7="","",IF(OR(B7="",B7&gt;Instructions!$B$4),"",IF(G7="Completed",IF(OR(K7="",K7&lt;B7),"",K7-B7),Instructions!$B$4-B7)))</x:f>
        <x:v>2</x:v>
      </x:c>
      <x:c r="O7" s="27" t="str">
        <x:f>IF(A7="","",IF(AND(G7&lt;&gt;"Completed",H7&lt;Instructions!$B$4,H7&lt;&gt;""),"Yes","No"))</x:f>
        <x:v>No</x:v>
      </x:c>
      <x:c r="P7" s="27" t="str">
        <x:f>IF(A7="","",IF(F7="","Yes","No"))</x:f>
        <x:v>No</x:v>
      </x:c>
      <x:c r="Q7" s="27" t="str">
        <x:f>IF(A7="","",IF(OR(B7="",H7="",I7="",I7&lt;B7,I7&gt;Instructions!$B$4,H7&lt;B7,AND(G7="Completed",OR(K7="",K7&lt;B7,K7&gt;Instructions!$B$4)),AND(G7&lt;&gt;"Completed",K7&lt;&gt;"")),"Review","OK"))</x:f>
        <x:v>OK</x:v>
      </x:c>
      <x:c r="R7" s="27" t="n">
        <x:f>IF(A7="","",IF(G7="Completed",0,1))</x:f>
        <x:v>0</x:v>
      </x:c>
    </x:row>
    <x:row r="8">
      <x:c r="A8" s="27" t="str">
        <x:v>DS-002</x:v>
      </x:c>
      <x:c r="B8" s="28" t="n">
        <x:v>46267.5</x:v>
      </x:c>
      <x:c r="C8" s="27" t="str">
        <x:v>Information</x:v>
      </x:c>
      <x:c r="D8" s="27" t="str">
        <x:v>Intake form lacks service area</x:v>
      </x:c>
      <x:c r="E8" s="27" t="str">
        <x:v>Medium</x:v>
      </x:c>
      <x:c r="F8" s="27" t="str">
        <x:v>Service Coordinator</x:v>
      </x:c>
      <x:c r="G8" s="27" t="str">
        <x:v>Completed</x:v>
      </x:c>
      <x:c r="H8" s="28" t="n">
        <x:v>46273.5</x:v>
      </x:c>
      <x:c r="I8" s="28" t="n">
        <x:v>46272.5</x:v>
      </x:c>
      <x:c r="J8" s="27" t="str">
        <x:v>Publish revised form</x:v>
      </x:c>
      <x:c r="K8" s="28" t="n">
        <x:v>46272.5</x:v>
      </x:c>
      <x:c r="L8" s="27"/>
      <x:c r="M8" s="27" t="str">
        <x:v>Synthetic form review</x:v>
      </x:c>
      <x:c r="N8" s="29" t="n">
        <x:f>IF(A8="","",IF(OR(B8="",B8&gt;Instructions!$B$4),"",IF(G8="Completed",IF(OR(K8="",K8&lt;B8),"",K8-B8),Instructions!$B$4-B8)))</x:f>
        <x:v>5</x:v>
      </x:c>
      <x:c r="O8" s="27" t="str">
        <x:f>IF(A8="","",IF(AND(G8&lt;&gt;"Completed",H8&lt;Instructions!$B$4,H8&lt;&gt;""),"Yes","No"))</x:f>
        <x:v>No</x:v>
      </x:c>
      <x:c r="P8" s="27" t="str">
        <x:f>IF(A8="","",IF(F8="","Yes","No"))</x:f>
        <x:v>No</x:v>
      </x:c>
      <x:c r="Q8" s="27" t="str">
        <x:f>IF(A8="","",IF(OR(B8="",H8="",I8="",I8&lt;B8,I8&gt;Instructions!$B$4,H8&lt;B8,AND(G8="Completed",OR(K8="",K8&lt;B8,K8&gt;Instructions!$B$4)),AND(G8&lt;&gt;"Completed",K8&lt;&gt;"")),"Review","OK"))</x:f>
        <x:v>OK</x:v>
      </x:c>
      <x:c r="R8" s="27" t="n">
        <x:f>IF(A8="","",IF(G8="Completed",0,1))</x:f>
        <x:v>0</x:v>
      </x:c>
    </x:row>
    <x:row r="9">
      <x:c r="A9" s="27" t="str">
        <x:v>DS-003</x:v>
      </x:c>
      <x:c r="B9" s="28" t="n">
        <x:v>46268.5</x:v>
      </x:c>
      <x:c r="C9" s="27" t="str">
        <x:v>Reporting</x:v>
      </x:c>
      <x:c r="D9" s="27" t="str">
        <x:v>Weekly count differs from source list</x:v>
      </x:c>
      <x:c r="E9" s="27" t="str">
        <x:v>High</x:v>
      </x:c>
      <x:c r="F9" s="27" t="str">
        <x:v>Reporting Analyst</x:v>
      </x:c>
      <x:c r="G9" s="27" t="str">
        <x:v>In Progress</x:v>
      </x:c>
      <x:c r="H9" s="28" t="n">
        <x:v>46295.5</x:v>
      </x:c>
      <x:c r="I9" s="28" t="n">
        <x:v>46301.5</x:v>
      </x:c>
      <x:c r="J9" s="27" t="str">
        <x:v>Reconcile excluded duplicate rows</x:v>
      </x:c>
      <x:c r="K9" s="28"/>
      <x:c r="L9" s="27" t="str">
        <x:v>Source-list definition needed</x:v>
      </x:c>
      <x:c r="M9" s="27" t="str">
        <x:v>Synthetic reconciliation note</x:v>
      </x:c>
      <x:c r="N9" s="29" t="n">
        <x:f>IF(A9="","",IF(OR(B9="",B9&gt;Instructions!$B$4),"",IF(G9="Completed",IF(OR(K9="",K9&lt;B9),"",K9-B9),Instructions!$B$4-B9)))</x:f>
        <x:v>34</x:v>
      </x:c>
      <x:c r="O9" s="27" t="str">
        <x:f>IF(A9="","",IF(AND(G9&lt;&gt;"Completed",H9&lt;Instructions!$B$4,H9&lt;&gt;""),"Yes","No"))</x:f>
        <x:v>Yes</x:v>
      </x:c>
      <x:c r="P9" s="27" t="str">
        <x:f>IF(A9="","",IF(F9="","Yes","No"))</x:f>
        <x:v>No</x:v>
      </x:c>
      <x:c r="Q9" s="27" t="str">
        <x:f>IF(A9="","",IF(OR(B9="",H9="",I9="",I9&lt;B9,I9&gt;Instructions!$B$4,H9&lt;B9,AND(G9="Completed",OR(K9="",K9&lt;B9,K9&gt;Instructions!$B$4)),AND(G9&lt;&gt;"Completed",K9&lt;&gt;"")),"Review","OK"))</x:f>
        <x:v>OK</x:v>
      </x:c>
      <x:c r="R9" s="27" t="n">
        <x:f>IF(A9="","",IF(G9="Completed",0,1))</x:f>
        <x:v>1</x:v>
      </x:c>
    </x:row>
    <x:row r="10">
      <x:c r="A10" s="27" t="str">
        <x:v>DS-004</x:v>
      </x:c>
      <x:c r="B10" s="28" t="n">
        <x:v>46269.5</x:v>
      </x:c>
      <x:c r="C10" s="27" t="str">
        <x:v>Workflow</x:v>
      </x:c>
      <x:c r="D10" s="27" t="str">
        <x:v>Approval step routes to old role</x:v>
      </x:c>
      <x:c r="E10" s="27" t="str">
        <x:v>Medium</x:v>
      </x:c>
      <x:c r="F10" s="27" t="str">
        <x:v>Workflow Analyst</x:v>
      </x:c>
      <x:c r="G10" s="27" t="str">
        <x:v>Completed</x:v>
      </x:c>
      <x:c r="H10" s="28" t="n">
        <x:v>46280.5</x:v>
      </x:c>
      <x:c r="I10" s="28" t="n">
        <x:v>46277.5</x:v>
      </x:c>
      <x:c r="J10" s="27" t="str">
        <x:v>Confirm routing with team</x:v>
      </x:c>
      <x:c r="K10" s="28" t="n">
        <x:v>46277.5</x:v>
      </x:c>
      <x:c r="L10" s="27"/>
      <x:c r="M10" s="27" t="str">
        <x:v>Synthetic workflow check</x:v>
      </x:c>
      <x:c r="N10" s="29" t="n">
        <x:f>IF(A10="","",IF(OR(B10="",B10&gt;Instructions!$B$4),"",IF(G10="Completed",IF(OR(K10="",K10&lt;B10),"",K10-B10),Instructions!$B$4-B10)))</x:f>
        <x:v>8</x:v>
      </x:c>
      <x:c r="O10" s="27" t="str">
        <x:f>IF(A10="","",IF(AND(G10&lt;&gt;"Completed",H10&lt;Instructions!$B$4,H10&lt;&gt;""),"Yes","No"))</x:f>
        <x:v>No</x:v>
      </x:c>
      <x:c r="P10" s="27" t="str">
        <x:f>IF(A10="","",IF(F10="","Yes","No"))</x:f>
        <x:v>No</x:v>
      </x:c>
      <x:c r="Q10" s="27" t="str">
        <x:f>IF(A10="","",IF(OR(B10="",H10="",I10="",I10&lt;B10,I10&gt;Instructions!$B$4,H10&lt;B10,AND(G10="Completed",OR(K10="",K10&lt;B10,K10&gt;Instructions!$B$4)),AND(G10&lt;&gt;"Completed",K10&lt;&gt;"")),"Review","OK"))</x:f>
        <x:v>OK</x:v>
      </x:c>
      <x:c r="R10" s="27" t="n">
        <x:f>IF(A10="","",IF(G10="Completed",0,1))</x:f>
        <x:v>0</x:v>
      </x:c>
    </x:row>
    <x:row r="11">
      <x:c r="A11" s="27" t="str">
        <x:v>DS-005</x:v>
      </x:c>
      <x:c r="B11" s="28" t="n">
        <x:v>46270.5</x:v>
      </x:c>
      <x:c r="C11" s="27" t="str">
        <x:v>Document</x:v>
      </x:c>
      <x:c r="D11" s="27" t="str">
        <x:v>Guide links to retired template</x:v>
      </x:c>
      <x:c r="E11" s="27" t="str">
        <x:v>Low</x:v>
      </x:c>
      <x:c r="F11" s="27" t="str">
        <x:v>Content Editor</x:v>
      </x:c>
      <x:c r="G11" s="27" t="str">
        <x:v>Completed</x:v>
      </x:c>
      <x:c r="H11" s="28" t="n">
        <x:v>46283.5</x:v>
      </x:c>
      <x:c r="I11" s="28" t="n">
        <x:v>46281.5</x:v>
      </x:c>
      <x:c r="J11" s="27" t="str">
        <x:v>Archive old link</x:v>
      </x:c>
      <x:c r="K11" s="28" t="n">
        <x:v>46281.5</x:v>
      </x:c>
      <x:c r="L11" s="27"/>
      <x:c r="M11" s="27" t="str">
        <x:v>Synthetic document review</x:v>
      </x:c>
      <x:c r="N11" s="29" t="n">
        <x:f>IF(A11="","",IF(OR(B11="",B11&gt;Instructions!$B$4),"",IF(G11="Completed",IF(OR(K11="",K11&lt;B11),"",K11-B11),Instructions!$B$4-B11)))</x:f>
        <x:v>11</x:v>
      </x:c>
      <x:c r="O11" s="27" t="str">
        <x:f>IF(A11="","",IF(AND(G11&lt;&gt;"Completed",H11&lt;Instructions!$B$4,H11&lt;&gt;""),"Yes","No"))</x:f>
        <x:v>No</x:v>
      </x:c>
      <x:c r="P11" s="27" t="str">
        <x:f>IF(A11="","",IF(F11="","Yes","No"))</x:f>
        <x:v>No</x:v>
      </x:c>
      <x:c r="Q11" s="27" t="str">
        <x:f>IF(A11="","",IF(OR(B11="",H11="",I11="",I11&lt;B11,I11&gt;Instructions!$B$4,H11&lt;B11,AND(G11="Completed",OR(K11="",K11&lt;B11,K11&gt;Instructions!$B$4)),AND(G11&lt;&gt;"Completed",K11&lt;&gt;"")),"Review","OK"))</x:f>
        <x:v>OK</x:v>
      </x:c>
      <x:c r="R11" s="27" t="n">
        <x:f>IF(A11="","",IF(G11="Completed",0,1))</x:f>
        <x:v>0</x:v>
      </x:c>
    </x:row>
    <x:row r="12">
      <x:c r="A12" s="27" t="str">
        <x:v>DS-006</x:v>
      </x:c>
      <x:c r="B12" s="28" t="n">
        <x:v>46272.5</x:v>
      </x:c>
      <x:c r="C12" s="27" t="str">
        <x:v>Access</x:v>
      </x:c>
      <x:c r="D12" s="27" t="str">
        <x:v>Shared mailbox member cannot read folder</x:v>
      </x:c>
      <x:c r="E12" s="27" t="str">
        <x:v>High</x:v>
      </x:c>
      <x:c r="F12" s="27" t="str">
        <x:v>Access Analyst</x:v>
      </x:c>
      <x:c r="G12" s="27" t="str">
        <x:v>Blocked</x:v>
      </x:c>
      <x:c r="H12" s="28" t="n">
        <x:v>46288.5</x:v>
      </x:c>
      <x:c r="I12" s="28" t="n">
        <x:v>46300.5</x:v>
      </x:c>
      <x:c r="J12" s="27" t="str">
        <x:v>Request manager approval for access</x:v>
      </x:c>
      <x:c r="K12" s="28"/>
      <x:c r="L12" s="27" t="str">
        <x:v>Manager approval outstanding</x:v>
      </x:c>
      <x:c r="M12" s="27" t="str">
        <x:v>Synthetic access note</x:v>
      </x:c>
      <x:c r="N12" s="29" t="n">
        <x:f>IF(A12="","",IF(OR(B12="",B12&gt;Instructions!$B$4),"",IF(G12="Completed",IF(OR(K12="",K12&lt;B12),"",K12-B12),Instructions!$B$4-B12)))</x:f>
        <x:v>30</x:v>
      </x:c>
      <x:c r="O12" s="27" t="str">
        <x:f>IF(A12="","",IF(AND(G12&lt;&gt;"Completed",H12&lt;Instructions!$B$4,H12&lt;&gt;""),"Yes","No"))</x:f>
        <x:v>Yes</x:v>
      </x:c>
      <x:c r="P12" s="27" t="str">
        <x:f>IF(A12="","",IF(F12="","Yes","No"))</x:f>
        <x:v>No</x:v>
      </x:c>
      <x:c r="Q12" s="27" t="str">
        <x:f>IF(A12="","",IF(OR(B12="",H12="",I12="",I12&lt;B12,I12&gt;Instructions!$B$4,H12&lt;B12,AND(G12="Completed",OR(K12="",K12&lt;B12,K12&gt;Instructions!$B$4)),AND(G12&lt;&gt;"Completed",K12&lt;&gt;"")),"Review","OK"))</x:f>
        <x:v>OK</x:v>
      </x:c>
      <x:c r="R12" s="27" t="n">
        <x:f>IF(A12="","",IF(G12="Completed",0,1))</x:f>
        <x:v>1</x:v>
      </x:c>
    </x:row>
    <x:row r="13">
      <x:c r="A13" s="27" t="str">
        <x:v>DS-007</x:v>
      </x:c>
      <x:c r="B13" s="28" t="n">
        <x:v>46273.5</x:v>
      </x:c>
      <x:c r="C13" s="27" t="str">
        <x:v>Information</x:v>
      </x:c>
      <x:c r="D13" s="27" t="str">
        <x:v>Request submitted without contact method</x:v>
      </x:c>
      <x:c r="E13" s="27" t="str">
        <x:v>Medium</x:v>
      </x:c>
      <x:c r="F13" s="27" t="str">
        <x:v>Service Coordinator</x:v>
      </x:c>
      <x:c r="G13" s="27" t="str">
        <x:v>Blocked</x:v>
      </x:c>
      <x:c r="H13" s="28" t="n">
        <x:v>46287.5</x:v>
      </x:c>
      <x:c r="I13" s="28" t="n">
        <x:v>46297.5</x:v>
      </x:c>
      <x:c r="J13" s="27" t="str">
        <x:v>Ask intake team for contact route</x:v>
      </x:c>
      <x:c r="K13" s="28"/>
      <x:c r="L13" s="27" t="str">
        <x:v>Requester details unavailable</x:v>
      </x:c>
      <x:c r="M13" s="27" t="str">
        <x:v>Synthetic intake note</x:v>
      </x:c>
      <x:c r="N13" s="29" t="n">
        <x:f>IF(A13="","",IF(OR(B13="",B13&gt;Instructions!$B$4),"",IF(G13="Completed",IF(OR(K13="",K13&lt;B13),"",K13-B13),Instructions!$B$4-B13)))</x:f>
        <x:v>29</x:v>
      </x:c>
      <x:c r="O13" s="27" t="str">
        <x:f>IF(A13="","",IF(AND(G13&lt;&gt;"Completed",H13&lt;Instructions!$B$4,H13&lt;&gt;""),"Yes","No"))</x:f>
        <x:v>Yes</x:v>
      </x:c>
      <x:c r="P13" s="27" t="str">
        <x:f>IF(A13="","",IF(F13="","Yes","No"))</x:f>
        <x:v>No</x:v>
      </x:c>
      <x:c r="Q13" s="27" t="str">
        <x:f>IF(A13="","",IF(OR(B13="",H13="",I13="",I13&lt;B13,I13&gt;Instructions!$B$4,H13&lt;B13,AND(G13="Completed",OR(K13="",K13&lt;B13,K13&gt;Instructions!$B$4)),AND(G13&lt;&gt;"Completed",K13&lt;&gt;"")),"Review","OK"))</x:f>
        <x:v>OK</x:v>
      </x:c>
      <x:c r="R13" s="27" t="n">
        <x:f>IF(A13="","",IF(G13="Completed",0,1))</x:f>
        <x:v>1</x:v>
      </x:c>
    </x:row>
    <x:row r="14">
      <x:c r="A14" s="27" t="str">
        <x:v>DS-008</x:v>
      </x:c>
      <x:c r="B14" s="28" t="n">
        <x:v>46274.5</x:v>
      </x:c>
      <x:c r="C14" s="27" t="str">
        <x:v>Reporting</x:v>
      </x:c>
      <x:c r="D14" s="27" t="str">
        <x:v>Add category split to monthly pack</x:v>
      </x:c>
      <x:c r="E14" s="27" t="str">
        <x:v>Medium</x:v>
      </x:c>
      <x:c r="F14" s="27" t="str">
        <x:v>Reporting Analyst</x:v>
      </x:c>
      <x:c r="G14" s="27" t="str">
        <x:v>Completed</x:v>
      </x:c>
      <x:c r="H14" s="28" t="n">
        <x:v>46290.5</x:v>
      </x:c>
      <x:c r="I14" s="28" t="n">
        <x:v>46289.5</x:v>
      </x:c>
      <x:c r="J14" s="27" t="str">
        <x:v>File approved chart</x:v>
      </x:c>
      <x:c r="K14" s="28" t="n">
        <x:v>46289.5</x:v>
      </x:c>
      <x:c r="L14" s="27"/>
      <x:c r="M14" s="27" t="str">
        <x:v>Synthetic reporting note</x:v>
      </x:c>
      <x:c r="N14" s="29" t="n">
        <x:f>IF(A14="","",IF(OR(B14="",B14&gt;Instructions!$B$4),"",IF(G14="Completed",IF(OR(K14="",K14&lt;B14),"",K14-B14),Instructions!$B$4-B14)))</x:f>
        <x:v>15</x:v>
      </x:c>
      <x:c r="O14" s="27" t="str">
        <x:f>IF(A14="","",IF(AND(G14&lt;&gt;"Completed",H14&lt;Instructions!$B$4,H14&lt;&gt;""),"Yes","No"))</x:f>
        <x:v>No</x:v>
      </x:c>
      <x:c r="P14" s="27" t="str">
        <x:f>IF(A14="","",IF(F14="","Yes","No"))</x:f>
        <x:v>No</x:v>
      </x:c>
      <x:c r="Q14" s="27" t="str">
        <x:f>IF(A14="","",IF(OR(B14="",H14="",I14="",I14&lt;B14,I14&gt;Instructions!$B$4,H14&lt;B14,AND(G14="Completed",OR(K14="",K14&lt;B14,K14&gt;Instructions!$B$4)),AND(G14&lt;&gt;"Completed",K14&lt;&gt;"")),"Review","OK"))</x:f>
        <x:v>OK</x:v>
      </x:c>
      <x:c r="R14" s="27" t="n">
        <x:f>IF(A14="","",IF(G14="Completed",0,1))</x:f>
        <x:v>0</x:v>
      </x:c>
    </x:row>
    <x:row r="15">
      <x:c r="A15" s="27" t="str">
        <x:v>DS-009</x:v>
      </x:c>
      <x:c r="B15" s="28" t="n">
        <x:v>46275.5</x:v>
      </x:c>
      <x:c r="C15" s="27" t="str">
        <x:v>Workflow</x:v>
      </x:c>
      <x:c r="D15" s="27" t="str">
        <x:v>Escalation email sends twice</x:v>
      </x:c>
      <x:c r="E15" s="27" t="str">
        <x:v>High</x:v>
      </x:c>
      <x:c r="F15" s="27" t="str">
        <x:v>Workflow Analyst</x:v>
      </x:c>
      <x:c r="G15" s="27" t="str">
        <x:v>In Progress</x:v>
      </x:c>
      <x:c r="H15" s="28" t="n">
        <x:v>46297.5</x:v>
      </x:c>
      <x:c r="I15" s="28" t="n">
        <x:v>46301.5</x:v>
      </x:c>
      <x:c r="J15" s="27" t="str">
        <x:v>Test revised automation rule</x:v>
      </x:c>
      <x:c r="K15" s="28"/>
      <x:c r="L15" s="27"/>
      <x:c r="M15" s="27" t="str">
        <x:v>Synthetic test log</x:v>
      </x:c>
      <x:c r="N15" s="29" t="n">
        <x:f>IF(A15="","",IF(OR(B15="",B15&gt;Instructions!$B$4),"",IF(G15="Completed",IF(OR(K15="",K15&lt;B15),"",K15-B15),Instructions!$B$4-B15)))</x:f>
        <x:v>27</x:v>
      </x:c>
      <x:c r="O15" s="27" t="str">
        <x:f>IF(A15="","",IF(AND(G15&lt;&gt;"Completed",H15&lt;Instructions!$B$4,H15&lt;&gt;""),"Yes","No"))</x:f>
        <x:v>Yes</x:v>
      </x:c>
      <x:c r="P15" s="27" t="str">
        <x:f>IF(A15="","",IF(F15="","Yes","No"))</x:f>
        <x:v>No</x:v>
      </x:c>
      <x:c r="Q15" s="27" t="str">
        <x:f>IF(A15="","",IF(OR(B15="",H15="",I15="",I15&lt;B15,I15&gt;Instructions!$B$4,H15&lt;B15,AND(G15="Completed",OR(K15="",K15&lt;B15,K15&gt;Instructions!$B$4)),AND(G15&lt;&gt;"Completed",K15&lt;&gt;"")),"Review","OK"))</x:f>
        <x:v>OK</x:v>
      </x:c>
      <x:c r="R15" s="27" t="n">
        <x:f>IF(A15="","",IF(G15="Completed",0,1))</x:f>
        <x:v>1</x:v>
      </x:c>
    </x:row>
    <x:row r="16">
      <x:c r="A16" s="27" t="str">
        <x:v>DS-010</x:v>
      </x:c>
      <x:c r="B16" s="28" t="n">
        <x:v>46276.5</x:v>
      </x:c>
      <x:c r="C16" s="27" t="str">
        <x:v>Document</x:v>
      </x:c>
      <x:c r="D16" s="27" t="str">
        <x:v>Policy note needs version owner</x:v>
      </x:c>
      <x:c r="E16" s="27" t="str">
        <x:v>Medium</x:v>
      </x:c>
      <x:c r="F16" s="27" t="str">
        <x:v>Content Editor</x:v>
      </x:c>
      <x:c r="G16" s="27" t="str">
        <x:v>In Progress</x:v>
      </x:c>
      <x:c r="H16" s="28" t="n">
        <x:v>46305.5</x:v>
      </x:c>
      <x:c r="I16" s="28" t="n">
        <x:v>46300.5</x:v>
      </x:c>
      <x:c r="J16" s="27" t="str">
        <x:v>Confirm document custodian</x:v>
      </x:c>
      <x:c r="K16" s="28"/>
      <x:c r="L16" s="27"/>
      <x:c r="M16" s="27" t="str">
        <x:v>Synthetic content note</x:v>
      </x:c>
      <x:c r="N16" s="29" t="n">
        <x:f>IF(A16="","",IF(OR(B16="",B16&gt;Instructions!$B$4),"",IF(G16="Completed",IF(OR(K16="",K16&lt;B16),"",K16-B16),Instructions!$B$4-B16)))</x:f>
        <x:v>26</x:v>
      </x:c>
      <x:c r="O16" s="27" t="str">
        <x:f>IF(A16="","",IF(AND(G16&lt;&gt;"Completed",H16&lt;Instructions!$B$4,H16&lt;&gt;""),"Yes","No"))</x:f>
        <x:v>No</x:v>
      </x:c>
      <x:c r="P16" s="27" t="str">
        <x:f>IF(A16="","",IF(F16="","Yes","No"))</x:f>
        <x:v>No</x:v>
      </x:c>
      <x:c r="Q16" s="27" t="str">
        <x:f>IF(A16="","",IF(OR(B16="",H16="",I16="",I16&lt;B16,I16&gt;Instructions!$B$4,H16&lt;B16,AND(G16="Completed",OR(K16="",K16&lt;B16,K16&gt;Instructions!$B$4)),AND(G16&lt;&gt;"Completed",K16&lt;&gt;"")),"Review","OK"))</x:f>
        <x:v>OK</x:v>
      </x:c>
      <x:c r="R16" s="27" t="n">
        <x:f>IF(A16="","",IF(G16="Completed",0,1))</x:f>
        <x:v>1</x:v>
      </x:c>
    </x:row>
    <x:row r="17">
      <x:c r="A17" s="27" t="str">
        <x:v>DS-011</x:v>
      </x:c>
      <x:c r="B17" s="28" t="n">
        <x:v>46277.5</x:v>
      </x:c>
      <x:c r="C17" s="27" t="str">
        <x:v>Access</x:v>
      </x:c>
      <x:c r="D17" s="27" t="str">
        <x:v>Temporary contributor needs library access</x:v>
      </x:c>
      <x:c r="E17" s="27" t="str">
        <x:v>Low</x:v>
      </x:c>
      <x:c r="F17" s="27" t="str">
        <x:v>Access Analyst</x:v>
      </x:c>
      <x:c r="G17" s="27" t="str">
        <x:v>Completed</x:v>
      </x:c>
      <x:c r="H17" s="28" t="n">
        <x:v>46284.5</x:v>
      </x:c>
      <x:c r="I17" s="28" t="n">
        <x:v>46283.5</x:v>
      </x:c>
      <x:c r="J17" s="27" t="str">
        <x:v>Record permission expiry</x:v>
      </x:c>
      <x:c r="K17" s="28" t="n">
        <x:v>46283.5</x:v>
      </x:c>
      <x:c r="L17" s="27"/>
      <x:c r="M17" s="27" t="str">
        <x:v>Synthetic access note</x:v>
      </x:c>
      <x:c r="N17" s="29" t="n">
        <x:f>IF(A17="","",IF(OR(B17="",B17&gt;Instructions!$B$4),"",IF(G17="Completed",IF(OR(K17="",K17&lt;B17),"",K17-B17),Instructions!$B$4-B17)))</x:f>
        <x:v>6</x:v>
      </x:c>
      <x:c r="O17" s="27" t="str">
        <x:f>IF(A17="","",IF(AND(G17&lt;&gt;"Completed",H17&lt;Instructions!$B$4,H17&lt;&gt;""),"Yes","No"))</x:f>
        <x:v>No</x:v>
      </x:c>
      <x:c r="P17" s="27" t="str">
        <x:f>IF(A17="","",IF(F17="","Yes","No"))</x:f>
        <x:v>No</x:v>
      </x:c>
      <x:c r="Q17" s="27" t="str">
        <x:f>IF(A17="","",IF(OR(B17="",H17="",I17="",I17&lt;B17,I17&gt;Instructions!$B$4,H17&lt;B17,AND(G17="Completed",OR(K17="",K17&lt;B17,K17&gt;Instructions!$B$4)),AND(G17&lt;&gt;"Completed",K17&lt;&gt;"")),"Review","OK"))</x:f>
        <x:v>OK</x:v>
      </x:c>
      <x:c r="R17" s="27" t="n">
        <x:f>IF(A17="","",IF(G17="Completed",0,1))</x:f>
        <x:v>0</x:v>
      </x:c>
    </x:row>
    <x:row r="18">
      <x:c r="A18" s="27" t="str">
        <x:v>DS-012</x:v>
      </x:c>
      <x:c r="B18" s="28" t="n">
        <x:v>46279.5</x:v>
      </x:c>
      <x:c r="C18" s="27" t="str">
        <x:v>Information</x:v>
      </x:c>
      <x:c r="D18" s="27" t="str">
        <x:v>Service description uses unclear term</x:v>
      </x:c>
      <x:c r="E18" s="27" t="str">
        <x:v>Low</x:v>
      </x:c>
      <x:c r="F18" s="27" t="str">
        <x:v>Service Coordinator</x:v>
      </x:c>
      <x:c r="G18" s="27" t="str">
        <x:v>Completed</x:v>
      </x:c>
      <x:c r="H18" s="28" t="n">
        <x:v>46294.5</x:v>
      </x:c>
      <x:c r="I18" s="28" t="n">
        <x:v>46293.5</x:v>
      </x:c>
      <x:c r="J18" s="27" t="str">
        <x:v>Publish plain-language wording</x:v>
      </x:c>
      <x:c r="K18" s="28" t="n">
        <x:v>46293.5</x:v>
      </x:c>
      <x:c r="L18" s="27"/>
      <x:c r="M18" s="27" t="str">
        <x:v>Synthetic review note</x:v>
      </x:c>
      <x:c r="N18" s="29" t="n">
        <x:f>IF(A18="","",IF(OR(B18="",B18&gt;Instructions!$B$4),"",IF(G18="Completed",IF(OR(K18="",K18&lt;B18),"",K18-B18),Instructions!$B$4-B18)))</x:f>
        <x:v>14</x:v>
      </x:c>
      <x:c r="O18" s="27" t="str">
        <x:f>IF(A18="","",IF(AND(G18&lt;&gt;"Completed",H18&lt;Instructions!$B$4,H18&lt;&gt;""),"Yes","No"))</x:f>
        <x:v>No</x:v>
      </x:c>
      <x:c r="P18" s="27" t="str">
        <x:f>IF(A18="","",IF(F18="","Yes","No"))</x:f>
        <x:v>No</x:v>
      </x:c>
      <x:c r="Q18" s="27" t="str">
        <x:f>IF(A18="","",IF(OR(B18="",H18="",I18="",I18&lt;B18,I18&gt;Instructions!$B$4,H18&lt;B18,AND(G18="Completed",OR(K18="",K18&lt;B18,K18&gt;Instructions!$B$4)),AND(G18&lt;&gt;"Completed",K18&lt;&gt;"")),"Review","OK"))</x:f>
        <x:v>OK</x:v>
      </x:c>
      <x:c r="R18" s="27" t="n">
        <x:f>IF(A18="","",IF(G18="Completed",0,1))</x:f>
        <x:v>0</x:v>
      </x:c>
    </x:row>
    <x:row r="19">
      <x:c r="A19" s="27" t="str">
        <x:v>DS-013</x:v>
      </x:c>
      <x:c r="B19" s="28" t="n">
        <x:v>46280.5</x:v>
      </x:c>
      <x:c r="C19" s="27" t="str">
        <x:v>Reporting</x:v>
      </x:c>
      <x:c r="D19" s="27" t="str">
        <x:v>Dashboard refresh instructions are outdated</x:v>
      </x:c>
      <x:c r="E19" s="27" t="str">
        <x:v>Medium</x:v>
      </x:c>
      <x:c r="F19" s="27" t="str">
        <x:v>Reporting Analyst</x:v>
      </x:c>
      <x:c r="G19" s="27" t="str">
        <x:v>Blocked</x:v>
      </x:c>
      <x:c r="H19" s="28" t="n">
        <x:v>46296.5</x:v>
      </x:c>
      <x:c r="I19" s="28" t="n">
        <x:v>46301.5</x:v>
      </x:c>
      <x:c r="J19" s="27" t="str">
        <x:v>Obtain current refresh owner steps</x:v>
      </x:c>
      <x:c r="K19" s="28"/>
      <x:c r="L19" s="27" t="str">
        <x:v>Technical owner input outstanding</x:v>
      </x:c>
      <x:c r="M19" s="27" t="str">
        <x:v>Synthetic reporting note</x:v>
      </x:c>
      <x:c r="N19" s="29" t="n">
        <x:f>IF(A19="","",IF(OR(B19="",B19&gt;Instructions!$B$4),"",IF(G19="Completed",IF(OR(K19="",K19&lt;B19),"",K19-B19),Instructions!$B$4-B19)))</x:f>
        <x:v>22</x:v>
      </x:c>
      <x:c r="O19" s="27" t="str">
        <x:f>IF(A19="","",IF(AND(G19&lt;&gt;"Completed",H19&lt;Instructions!$B$4,H19&lt;&gt;""),"Yes","No"))</x:f>
        <x:v>Yes</x:v>
      </x:c>
      <x:c r="P19" s="27" t="str">
        <x:f>IF(A19="","",IF(F19="","Yes","No"))</x:f>
        <x:v>No</x:v>
      </x:c>
      <x:c r="Q19" s="27" t="str">
        <x:f>IF(A19="","",IF(OR(B19="",H19="",I19="",I19&lt;B19,I19&gt;Instructions!$B$4,H19&lt;B19,AND(G19="Completed",OR(K19="",K19&lt;B19,K19&gt;Instructions!$B$4)),AND(G19&lt;&gt;"Completed",K19&lt;&gt;"")),"Review","OK"))</x:f>
        <x:v>OK</x:v>
      </x:c>
      <x:c r="R19" s="27" t="n">
        <x:f>IF(A19="","",IF(G19="Completed",0,1))</x:f>
        <x:v>1</x:v>
      </x:c>
    </x:row>
    <x:row r="20">
      <x:c r="A20" s="27" t="str">
        <x:v>DS-014</x:v>
      </x:c>
      <x:c r="B20" s="28" t="n">
        <x:v>46281.5</x:v>
      </x:c>
      <x:c r="C20" s="27" t="str">
        <x:v>Workflow</x:v>
      </x:c>
      <x:c r="D20" s="27" t="str">
        <x:v>Handoff checklist misses evidence link</x:v>
      </x:c>
      <x:c r="E20" s="27" t="str">
        <x:v>Medium</x:v>
      </x:c>
      <x:c r="F20" s="27" t="str">
        <x:v>Workflow Analyst</x:v>
      </x:c>
      <x:c r="G20" s="27" t="str">
        <x:v>Completed</x:v>
      </x:c>
      <x:c r="H20" s="28" t="n">
        <x:v>46295.5</x:v>
      </x:c>
      <x:c r="I20" s="28" t="n">
        <x:v>46294.5</x:v>
      </x:c>
      <x:c r="J20" s="27" t="str">
        <x:v>Add link to checklist</x:v>
      </x:c>
      <x:c r="K20" s="28" t="n">
        <x:v>46294.5</x:v>
      </x:c>
      <x:c r="L20" s="27"/>
      <x:c r="M20" s="27" t="str">
        <x:v>Synthetic checklist review</x:v>
      </x:c>
      <x:c r="N20" s="29" t="n">
        <x:f>IF(A20="","",IF(OR(B20="",B20&gt;Instructions!$B$4),"",IF(G20="Completed",IF(OR(K20="",K20&lt;B20),"",K20-B20),Instructions!$B$4-B20)))</x:f>
        <x:v>13</x:v>
      </x:c>
      <x:c r="O20" s="27" t="str">
        <x:f>IF(A20="","",IF(AND(G20&lt;&gt;"Completed",H20&lt;Instructions!$B$4,H20&lt;&gt;""),"Yes","No"))</x:f>
        <x:v>No</x:v>
      </x:c>
      <x:c r="P20" s="27" t="str">
        <x:f>IF(A20="","",IF(F20="","Yes","No"))</x:f>
        <x:v>No</x:v>
      </x:c>
      <x:c r="Q20" s="27" t="str">
        <x:f>IF(A20="","",IF(OR(B20="",H20="",I20="",I20&lt;B20,I20&gt;Instructions!$B$4,H20&lt;B20,AND(G20="Completed",OR(K20="",K20&lt;B20,K20&gt;Instructions!$B$4)),AND(G20&lt;&gt;"Completed",K20&lt;&gt;"")),"Review","OK"))</x:f>
        <x:v>OK</x:v>
      </x:c>
      <x:c r="R20" s="27" t="n">
        <x:f>IF(A20="","",IF(G20="Completed",0,1))</x:f>
        <x:v>0</x:v>
      </x:c>
    </x:row>
    <x:row r="21">
      <x:c r="A21" s="27" t="str">
        <x:v>DS-015</x:v>
      </x:c>
      <x:c r="B21" s="28" t="n">
        <x:v>46282.5</x:v>
      </x:c>
      <x:c r="C21" s="27" t="str">
        <x:v>Document</x:v>
      </x:c>
      <x:c r="D21" s="27" t="str">
        <x:v>FAQ needs accessibility review</x:v>
      </x:c>
      <x:c r="E21" s="27" t="str">
        <x:v>Medium</x:v>
      </x:c>
      <x:c r="F21" s="27" t="str">
        <x:v>Content Editor</x:v>
      </x:c>
      <x:c r="G21" s="27" t="str">
        <x:v>In Progress</x:v>
      </x:c>
      <x:c r="H21" s="28" t="n">
        <x:v>46309.5</x:v>
      </x:c>
      <x:c r="I21" s="28" t="n">
        <x:v>46301.5</x:v>
      </x:c>
      <x:c r="J21" s="27" t="str">
        <x:v>Send draft for accessibility review</x:v>
      </x:c>
      <x:c r="K21" s="28"/>
      <x:c r="L21" s="27"/>
      <x:c r="M21" s="27" t="str">
        <x:v>Synthetic editorial note</x:v>
      </x:c>
      <x:c r="N21" s="29" t="n">
        <x:f>IF(A21="","",IF(OR(B21="",B21&gt;Instructions!$B$4),"",IF(G21="Completed",IF(OR(K21="",K21&lt;B21),"",K21-B21),Instructions!$B$4-B21)))</x:f>
        <x:v>20</x:v>
      </x:c>
      <x:c r="O21" s="27" t="str">
        <x:f>IF(A21="","",IF(AND(G21&lt;&gt;"Completed",H21&lt;Instructions!$B$4,H21&lt;&gt;""),"Yes","No"))</x:f>
        <x:v>No</x:v>
      </x:c>
      <x:c r="P21" s="27" t="str">
        <x:f>IF(A21="","",IF(F21="","Yes","No"))</x:f>
        <x:v>No</x:v>
      </x:c>
      <x:c r="Q21" s="27" t="str">
        <x:f>IF(A21="","",IF(OR(B21="",H21="",I21="",I21&lt;B21,I21&gt;Instructions!$B$4,H21&lt;B21,AND(G21="Completed",OR(K21="",K21&lt;B21,K21&gt;Instructions!$B$4)),AND(G21&lt;&gt;"Completed",K21&lt;&gt;"")),"Review","OK"))</x:f>
        <x:v>OK</x:v>
      </x:c>
      <x:c r="R21" s="27" t="n">
        <x:f>IF(A21="","",IF(G21="Completed",0,1))</x:f>
        <x:v>1</x:v>
      </x:c>
    </x:row>
    <x:row r="22">
      <x:c r="A22" s="27" t="str">
        <x:v>DS-016</x:v>
      </x:c>
      <x:c r="B22" s="28" t="n">
        <x:v>46283.5</x:v>
      </x:c>
      <x:c r="C22" s="27" t="str">
        <x:v>Access</x:v>
      </x:c>
      <x:c r="D22" s="27" t="str">
        <x:v>Contractor account renewal unclear</x:v>
      </x:c>
      <x:c r="E22" s="27" t="str">
        <x:v>High</x:v>
      </x:c>
      <x:c r="F22" s="27" t="str">
        <x:v>Access Analyst</x:v>
      </x:c>
      <x:c r="G22" s="27" t="str">
        <x:v>Blocked</x:v>
      </x:c>
      <x:c r="H22" s="28" t="n">
        <x:v>46300.5</x:v>
      </x:c>
      <x:c r="I22" s="28" t="n">
        <x:v>46301.5</x:v>
      </x:c>
      <x:c r="J22" s="27" t="str">
        <x:v>Confirm renewal authority</x:v>
      </x:c>
      <x:c r="K22" s="28"/>
      <x:c r="L22" s="27" t="str">
        <x:v>Sponsor decision outstanding</x:v>
      </x:c>
      <x:c r="M22" s="27" t="str">
        <x:v>Synthetic access note</x:v>
      </x:c>
      <x:c r="N22" s="29" t="n">
        <x:f>IF(A22="","",IF(OR(B22="",B22&gt;Instructions!$B$4),"",IF(G22="Completed",IF(OR(K22="",K22&lt;B22),"",K22-B22),Instructions!$B$4-B22)))</x:f>
        <x:v>19</x:v>
      </x:c>
      <x:c r="O22" s="27" t="str">
        <x:f>IF(A22="","",IF(AND(G22&lt;&gt;"Completed",H22&lt;Instructions!$B$4,H22&lt;&gt;""),"Yes","No"))</x:f>
        <x:v>Yes</x:v>
      </x:c>
      <x:c r="P22" s="27" t="str">
        <x:f>IF(A22="","",IF(F22="","Yes","No"))</x:f>
        <x:v>No</x:v>
      </x:c>
      <x:c r="Q22" s="27" t="str">
        <x:f>IF(A22="","",IF(OR(B22="",H22="",I22="",I22&lt;B22,I22&gt;Instructions!$B$4,H22&lt;B22,AND(G22="Completed",OR(K22="",K22&lt;B22,K22&gt;Instructions!$B$4)),AND(G22&lt;&gt;"Completed",K22&lt;&gt;"")),"Review","OK"))</x:f>
        <x:v>OK</x:v>
      </x:c>
      <x:c r="R22" s="27" t="n">
        <x:f>IF(A22="","",IF(G22="Completed",0,1))</x:f>
        <x:v>1</x:v>
      </x:c>
    </x:row>
    <x:row r="23">
      <x:c r="A23" s="27" t="str">
        <x:v>DS-017</x:v>
      </x:c>
      <x:c r="B23" s="28" t="n">
        <x:v>46284.5</x:v>
      </x:c>
      <x:c r="C23" s="27" t="str">
        <x:v>Information</x:v>
      </x:c>
      <x:c r="D23" s="27" t="str">
        <x:v>Missing requested completion date</x:v>
      </x:c>
      <x:c r="E23" s="27" t="str">
        <x:v>Low</x:v>
      </x:c>
      <x:c r="F23" s="27" t="str">
        <x:v>Service Coordinator</x:v>
      </x:c>
      <x:c r="G23" s="27" t="str">
        <x:v>New</x:v>
      </x:c>
      <x:c r="H23" s="28" t="n">
        <x:v>46307.5</x:v>
      </x:c>
      <x:c r="I23" s="28" t="n">
        <x:v>46299.5</x:v>
      </x:c>
      <x:c r="J23" s="27" t="str">
        <x:v>Clarify delivery need</x:v>
      </x:c>
      <x:c r="K23" s="28"/>
      <x:c r="L23" s="27"/>
      <x:c r="M23" s="27" t="str">
        <x:v>Synthetic intake note</x:v>
      </x:c>
      <x:c r="N23" s="29" t="n">
        <x:f>IF(A23="","",IF(OR(B23="",B23&gt;Instructions!$B$4),"",IF(G23="Completed",IF(OR(K23="",K23&lt;B23),"",K23-B23),Instructions!$B$4-B23)))</x:f>
        <x:v>18</x:v>
      </x:c>
      <x:c r="O23" s="27" t="str">
        <x:f>IF(A23="","",IF(AND(G23&lt;&gt;"Completed",H23&lt;Instructions!$B$4,H23&lt;&gt;""),"Yes","No"))</x:f>
        <x:v>No</x:v>
      </x:c>
      <x:c r="P23" s="27" t="str">
        <x:f>IF(A23="","",IF(F23="","Yes","No"))</x:f>
        <x:v>No</x:v>
      </x:c>
      <x:c r="Q23" s="27" t="str">
        <x:f>IF(A23="","",IF(OR(B23="",H23="",I23="",I23&lt;B23,I23&gt;Instructions!$B$4,H23&lt;B23,AND(G23="Completed",OR(K23="",K23&lt;B23,K23&gt;Instructions!$B$4)),AND(G23&lt;&gt;"Completed",K23&lt;&gt;"")),"Review","OK"))</x:f>
        <x:v>OK</x:v>
      </x:c>
      <x:c r="R23" s="27" t="n">
        <x:f>IF(A23="","",IF(G23="Completed",0,1))</x:f>
        <x:v>1</x:v>
      </x:c>
    </x:row>
    <x:row r="24">
      <x:c r="A24" s="27" t="str">
        <x:v>DS-018</x:v>
      </x:c>
      <x:c r="B24" s="28" t="n">
        <x:v>46286.5</x:v>
      </x:c>
      <x:c r="C24" s="27" t="str">
        <x:v>Reporting</x:v>
      </x:c>
      <x:c r="D24" s="27" t="str">
        <x:v>Summary uses inconsistent status names</x:v>
      </x:c>
      <x:c r="E24" s="27" t="str">
        <x:v>Medium</x:v>
      </x:c>
      <x:c r="F24" s="27" t="str">
        <x:v>Reporting Analyst</x:v>
      </x:c>
      <x:c r="G24" s="27" t="str">
        <x:v>Completed</x:v>
      </x:c>
      <x:c r="H24" s="28" t="n">
        <x:v>46295.5</x:v>
      </x:c>
      <x:c r="I24" s="28" t="n">
        <x:v>46295.5</x:v>
      </x:c>
      <x:c r="J24" s="27" t="str">
        <x:v>Confirm approved status list</x:v>
      </x:c>
      <x:c r="K24" s="28" t="n">
        <x:v>46295.5</x:v>
      </x:c>
      <x:c r="L24" s="27"/>
      <x:c r="M24" s="27" t="str">
        <x:v>Synthetic QA note</x:v>
      </x:c>
      <x:c r="N24" s="29" t="n">
        <x:f>IF(A24="","",IF(OR(B24="",B24&gt;Instructions!$B$4),"",IF(G24="Completed",IF(OR(K24="",K24&lt;B24),"",K24-B24),Instructions!$B$4-B24)))</x:f>
        <x:v>9</x:v>
      </x:c>
      <x:c r="O24" s="27" t="str">
        <x:f>IF(A24="","",IF(AND(G24&lt;&gt;"Completed",H24&lt;Instructions!$B$4,H24&lt;&gt;""),"Yes","No"))</x:f>
        <x:v>No</x:v>
      </x:c>
      <x:c r="P24" s="27" t="str">
        <x:f>IF(A24="","",IF(F24="","Yes","No"))</x:f>
        <x:v>No</x:v>
      </x:c>
      <x:c r="Q24" s="27" t="str">
        <x:f>IF(A24="","",IF(OR(B24="",H24="",I24="",I24&lt;B24,I24&gt;Instructions!$B$4,H24&lt;B24,AND(G24="Completed",OR(K24="",K24&lt;B24,K24&gt;Instructions!$B$4)),AND(G24&lt;&gt;"Completed",K24&lt;&gt;"")),"Review","OK"))</x:f>
        <x:v>OK</x:v>
      </x:c>
      <x:c r="R24" s="27" t="n">
        <x:f>IF(A24="","",IF(G24="Completed",0,1))</x:f>
        <x:v>0</x:v>
      </x:c>
    </x:row>
    <x:row r="25">
      <x:c r="A25" s="27" t="str">
        <x:v>DS-019</x:v>
      </x:c>
      <x:c r="B25" s="28" t="n">
        <x:v>46287.5</x:v>
      </x:c>
      <x:c r="C25" s="27" t="str">
        <x:v>Workflow</x:v>
      </x:c>
      <x:c r="D25" s="27" t="str">
        <x:v>Request reassignment lacks notification</x:v>
      </x:c>
      <x:c r="E25" s="27" t="str">
        <x:v>Medium</x:v>
      </x:c>
      <x:c r="F25" s="27" t="str">
        <x:v>Workflow Analyst</x:v>
      </x:c>
      <x:c r="G25" s="27" t="str">
        <x:v>In Progress</x:v>
      </x:c>
      <x:c r="H25" s="28" t="n">
        <x:v>46311.5</x:v>
      </x:c>
      <x:c r="I25" s="28" t="n">
        <x:v>46300.5</x:v>
      </x:c>
      <x:c r="J25" s="27" t="str">
        <x:v>Draft notification rule</x:v>
      </x:c>
      <x:c r="K25" s="28"/>
      <x:c r="L25" s="27"/>
      <x:c r="M25" s="27" t="str">
        <x:v>Synthetic workflow note</x:v>
      </x:c>
      <x:c r="N25" s="29" t="n">
        <x:f>IF(A25="","",IF(OR(B25="",B25&gt;Instructions!$B$4),"",IF(G25="Completed",IF(OR(K25="",K25&lt;B25),"",K25-B25),Instructions!$B$4-B25)))</x:f>
        <x:v>15</x:v>
      </x:c>
      <x:c r="O25" s="27" t="str">
        <x:f>IF(A25="","",IF(AND(G25&lt;&gt;"Completed",H25&lt;Instructions!$B$4,H25&lt;&gt;""),"Yes","No"))</x:f>
        <x:v>No</x:v>
      </x:c>
      <x:c r="P25" s="27" t="str">
        <x:f>IF(A25="","",IF(F25="","Yes","No"))</x:f>
        <x:v>No</x:v>
      </x:c>
      <x:c r="Q25" s="27" t="str">
        <x:f>IF(A25="","",IF(OR(B25="",H25="",I25="",I25&lt;B25,I25&gt;Instructions!$B$4,H25&lt;B25,AND(G25="Completed",OR(K25="",K25&lt;B25,K25&gt;Instructions!$B$4)),AND(G25&lt;&gt;"Completed",K25&lt;&gt;"")),"Review","OK"))</x:f>
        <x:v>OK</x:v>
      </x:c>
      <x:c r="R25" s="27" t="n">
        <x:f>IF(A25="","",IF(G25="Completed",0,1))</x:f>
        <x:v>1</x:v>
      </x:c>
    </x:row>
    <x:row r="26">
      <x:c r="A26" s="27" t="str">
        <x:v>DS-020</x:v>
      </x:c>
      <x:c r="B26" s="28" t="n">
        <x:v>46288.5</x:v>
      </x:c>
      <x:c r="C26" s="27" t="str">
        <x:v>Document</x:v>
      </x:c>
      <x:c r="D26" s="27" t="str">
        <x:v>Training page shows stale screenshot</x:v>
      </x:c>
      <x:c r="E26" s="27" t="str">
        <x:v>Low</x:v>
      </x:c>
      <x:c r="F26" s="27" t="str">
        <x:v>Content Editor</x:v>
      </x:c>
      <x:c r="G26" s="27" t="str">
        <x:v>Completed</x:v>
      </x:c>
      <x:c r="H26" s="28" t="n">
        <x:v>46297.5</x:v>
      </x:c>
      <x:c r="I26" s="28" t="n">
        <x:v>46296.5</x:v>
      </x:c>
      <x:c r="J26" s="27" t="str">
        <x:v>Replace screenshot</x:v>
      </x:c>
      <x:c r="K26" s="28" t="n">
        <x:v>46296.5</x:v>
      </x:c>
      <x:c r="L26" s="27"/>
      <x:c r="M26" s="27" t="str">
        <x:v>Synthetic page review</x:v>
      </x:c>
      <x:c r="N26" s="29" t="n">
        <x:f>IF(A26="","",IF(OR(B26="",B26&gt;Instructions!$B$4),"",IF(G26="Completed",IF(OR(K26="",K26&lt;B26),"",K26-B26),Instructions!$B$4-B26)))</x:f>
        <x:v>8</x:v>
      </x:c>
      <x:c r="O26" s="27" t="str">
        <x:f>IF(A26="","",IF(AND(G26&lt;&gt;"Completed",H26&lt;Instructions!$B$4,H26&lt;&gt;""),"Yes","No"))</x:f>
        <x:v>No</x:v>
      </x:c>
      <x:c r="P26" s="27" t="str">
        <x:f>IF(A26="","",IF(F26="","Yes","No"))</x:f>
        <x:v>No</x:v>
      </x:c>
      <x:c r="Q26" s="27" t="str">
        <x:f>IF(A26="","",IF(OR(B26="",H26="",I26="",I26&lt;B26,I26&gt;Instructions!$B$4,H26&lt;B26,AND(G26="Completed",OR(K26="",K26&lt;B26,K26&gt;Instructions!$B$4)),AND(G26&lt;&gt;"Completed",K26&lt;&gt;"")),"Review","OK"))</x:f>
        <x:v>OK</x:v>
      </x:c>
      <x:c r="R26" s="27" t="n">
        <x:f>IF(A26="","",IF(G26="Completed",0,1))</x:f>
        <x:v>0</x:v>
      </x:c>
    </x:row>
    <x:row r="27">
      <x:c r="A27" s="27" t="str">
        <x:v>DS-021</x:v>
      </x:c>
      <x:c r="B27" s="28" t="n">
        <x:v>46289.5</x:v>
      </x:c>
      <x:c r="C27" s="27" t="str">
        <x:v>Access</x:v>
      </x:c>
      <x:c r="D27" s="27" t="str">
        <x:v>New owner role missing permission group</x:v>
      </x:c>
      <x:c r="E27" s="27" t="str">
        <x:v>High</x:v>
      </x:c>
      <x:c r="F27" s="27"/>
      <x:c r="G27" s="27" t="str">
        <x:v>New</x:v>
      </x:c>
      <x:c r="H27" s="28" t="n">
        <x:v>46304.5</x:v>
      </x:c>
      <x:c r="I27" s="28" t="n">
        <x:v>46301.5</x:v>
      </x:c>
      <x:c r="J27" s="27" t="str">
        <x:v>Assign access owner and verify group</x:v>
      </x:c>
      <x:c r="K27" s="28"/>
      <x:c r="L27" s="27" t="str">
        <x:v>Owner assignment pending</x:v>
      </x:c>
      <x:c r="M27" s="27" t="str">
        <x:v>Synthetic intake note</x:v>
      </x:c>
      <x:c r="N27" s="29" t="n">
        <x:f>IF(A27="","",IF(OR(B27="",B27&gt;Instructions!$B$4),"",IF(G27="Completed",IF(OR(K27="",K27&lt;B27),"",K27-B27),Instructions!$B$4-B27)))</x:f>
        <x:v>13</x:v>
      </x:c>
      <x:c r="O27" s="27" t="str">
        <x:f>IF(A27="","",IF(AND(G27&lt;&gt;"Completed",H27&lt;Instructions!$B$4,H27&lt;&gt;""),"Yes","No"))</x:f>
        <x:v>No</x:v>
      </x:c>
      <x:c r="P27" s="27" t="str">
        <x:f>IF(A27="","",IF(F27="","Yes","No"))</x:f>
        <x:v>Yes</x:v>
      </x:c>
      <x:c r="Q27" s="27" t="str">
        <x:f>IF(A27="","",IF(OR(B27="",H27="",I27="",I27&lt;B27,I27&gt;Instructions!$B$4,H27&lt;B27,AND(G27="Completed",OR(K27="",K27&lt;B27,K27&gt;Instructions!$B$4)),AND(G27&lt;&gt;"Completed",K27&lt;&gt;"")),"Review","OK"))</x:f>
        <x:v>OK</x:v>
      </x:c>
      <x:c r="R27" s="27" t="n">
        <x:f>IF(A27="","",IF(G27="Completed",0,1))</x:f>
        <x:v>1</x:v>
      </x:c>
    </x:row>
    <x:row r="28">
      <x:c r="A28" s="27" t="str">
        <x:v>DS-022</x:v>
      </x:c>
      <x:c r="B28" s="28" t="n">
        <x:v>46290.5</x:v>
      </x:c>
      <x:c r="C28" s="27" t="str">
        <x:v>Information</x:v>
      </x:c>
      <x:c r="D28" s="27" t="str">
        <x:v>Requester gave two conflicting dates</x:v>
      </x:c>
      <x:c r="E28" s="27" t="str">
        <x:v>Medium</x:v>
      </x:c>
      <x:c r="F28" s="27" t="str">
        <x:v>Service Coordinator</x:v>
      </x:c>
      <x:c r="G28" s="27" t="str">
        <x:v>Blocked</x:v>
      </x:c>
      <x:c r="H28" s="28" t="n">
        <x:v>46301.5</x:v>
      </x:c>
      <x:c r="I28" s="28" t="n">
        <x:v>46301.5</x:v>
      </x:c>
      <x:c r="J28" s="27" t="str">
        <x:v>Confirm correct deadline</x:v>
      </x:c>
      <x:c r="K28" s="28"/>
      <x:c r="L28" s="27" t="str">
        <x:v>Requester clarification outstanding</x:v>
      </x:c>
      <x:c r="M28" s="27" t="str">
        <x:v>Synthetic intake note</x:v>
      </x:c>
      <x:c r="N28" s="29" t="n">
        <x:f>IF(A28="","",IF(OR(B28="",B28&gt;Instructions!$B$4),"",IF(G28="Completed",IF(OR(K28="",K28&lt;B28),"",K28-B28),Instructions!$B$4-B28)))</x:f>
        <x:v>12</x:v>
      </x:c>
      <x:c r="O28" s="27" t="str">
        <x:f>IF(A28="","",IF(AND(G28&lt;&gt;"Completed",H28&lt;Instructions!$B$4,H28&lt;&gt;""),"Yes","No"))</x:f>
        <x:v>Yes</x:v>
      </x:c>
      <x:c r="P28" s="27" t="str">
        <x:f>IF(A28="","",IF(F28="","Yes","No"))</x:f>
        <x:v>No</x:v>
      </x:c>
      <x:c r="Q28" s="27" t="str">
        <x:f>IF(A28="","",IF(OR(B28="",H28="",I28="",I28&lt;B28,I28&gt;Instructions!$B$4,H28&lt;B28,AND(G28="Completed",OR(K28="",K28&lt;B28,K28&gt;Instructions!$B$4)),AND(G28&lt;&gt;"Completed",K28&lt;&gt;"")),"Review","OK"))</x:f>
        <x:v>OK</x:v>
      </x:c>
      <x:c r="R28" s="27" t="n">
        <x:f>IF(A28="","",IF(G28="Completed",0,1))</x:f>
        <x:v>1</x:v>
      </x:c>
    </x:row>
    <x:row r="29">
      <x:c r="A29" s="27" t="str">
        <x:v>DS-023</x:v>
      </x:c>
      <x:c r="B29" s="28" t="n">
        <x:v>46291.5</x:v>
      </x:c>
      <x:c r="C29" s="27" t="str">
        <x:v>Reporting</x:v>
      </x:c>
      <x:c r="D29" s="27" t="str">
        <x:v>Need source note for monthly metric</x:v>
      </x:c>
      <x:c r="E29" s="27" t="str">
        <x:v>Medium</x:v>
      </x:c>
      <x:c r="F29" s="27" t="str">
        <x:v>Reporting Analyst</x:v>
      </x:c>
      <x:c r="G29" s="27" t="str">
        <x:v>In Progress</x:v>
      </x:c>
      <x:c r="H29" s="28" t="n">
        <x:v>46308.5</x:v>
      </x:c>
      <x:c r="I29" s="28" t="n">
        <x:v>46300.5</x:v>
      </x:c>
      <x:c r="J29" s="27" t="str">
        <x:v>Document calculation and source</x:v>
      </x:c>
      <x:c r="K29" s="28"/>
      <x:c r="L29" s="27"/>
      <x:c r="M29" s="27" t="str">
        <x:v>Synthetic metric note</x:v>
      </x:c>
      <x:c r="N29" s="29" t="n">
        <x:f>IF(A29="","",IF(OR(B29="",B29&gt;Instructions!$B$4),"",IF(G29="Completed",IF(OR(K29="",K29&lt;B29),"",K29-B29),Instructions!$B$4-B29)))</x:f>
        <x:v>11</x:v>
      </x:c>
      <x:c r="O29" s="27" t="str">
        <x:f>IF(A29="","",IF(AND(G29&lt;&gt;"Completed",H29&lt;Instructions!$B$4,H29&lt;&gt;""),"Yes","No"))</x:f>
        <x:v>No</x:v>
      </x:c>
      <x:c r="P29" s="27" t="str">
        <x:f>IF(A29="","",IF(F29="","Yes","No"))</x:f>
        <x:v>No</x:v>
      </x:c>
      <x:c r="Q29" s="27" t="str">
        <x:f>IF(A29="","",IF(OR(B29="",H29="",I29="",I29&lt;B29,I29&gt;Instructions!$B$4,H29&lt;B29,AND(G29="Completed",OR(K29="",K29&lt;B29,K29&gt;Instructions!$B$4)),AND(G29&lt;&gt;"Completed",K29&lt;&gt;"")),"Review","OK"))</x:f>
        <x:v>OK</x:v>
      </x:c>
      <x:c r="R29" s="27" t="n">
        <x:f>IF(A29="","",IF(G29="Completed",0,1))</x:f>
        <x:v>1</x:v>
      </x:c>
    </x:row>
    <x:row r="30">
      <x:c r="A30" s="27" t="str">
        <x:v>DS-024</x:v>
      </x:c>
      <x:c r="B30" s="28" t="n">
        <x:v>46293.5</x:v>
      </x:c>
      <x:c r="C30" s="27" t="str">
        <x:v>Workflow</x:v>
      </x:c>
      <x:c r="D30" s="27" t="str">
        <x:v>Completed item still appears in queue</x:v>
      </x:c>
      <x:c r="E30" s="27" t="str">
        <x:v>High</x:v>
      </x:c>
      <x:c r="F30" s="27" t="str">
        <x:v>Workflow Analyst</x:v>
      </x:c>
      <x:c r="G30" s="27" t="str">
        <x:v>Completed</x:v>
      </x:c>
      <x:c r="H30" s="28" t="n">
        <x:v>46301.5</x:v>
      </x:c>
      <x:c r="I30" s="28" t="n">
        <x:v>46301.5</x:v>
      </x:c>
      <x:c r="J30" s="27" t="str">
        <x:v>Confirm queue filter fix</x:v>
      </x:c>
      <x:c r="K30" s="28" t="n">
        <x:v>46301.5</x:v>
      </x:c>
      <x:c r="L30" s="27"/>
      <x:c r="M30" s="27" t="str">
        <x:v>Synthetic test log</x:v>
      </x:c>
      <x:c r="N30" s="29" t="n">
        <x:f>IF(A30="","",IF(OR(B30="",B30&gt;Instructions!$B$4),"",IF(G30="Completed",IF(OR(K30="",K30&lt;B30),"",K30-B30),Instructions!$B$4-B30)))</x:f>
        <x:v>8</x:v>
      </x:c>
      <x:c r="O30" s="27" t="str">
        <x:f>IF(A30="","",IF(AND(G30&lt;&gt;"Completed",H30&lt;Instructions!$B$4,H30&lt;&gt;""),"Yes","No"))</x:f>
        <x:v>No</x:v>
      </x:c>
      <x:c r="P30" s="27" t="str">
        <x:f>IF(A30="","",IF(F30="","Yes","No"))</x:f>
        <x:v>No</x:v>
      </x:c>
      <x:c r="Q30" s="27" t="str">
        <x:f>IF(A30="","",IF(OR(B30="",H30="",I30="",I30&lt;B30,I30&gt;Instructions!$B$4,H30&lt;B30,AND(G30="Completed",OR(K30="",K30&lt;B30,K30&gt;Instructions!$B$4)),AND(G30&lt;&gt;"Completed",K30&lt;&gt;"")),"Review","OK"))</x:f>
        <x:v>OK</x:v>
      </x:c>
      <x:c r="R30" s="27" t="n">
        <x:f>IF(A30="","",IF(G30="Completed",0,1))</x:f>
        <x:v>0</x:v>
      </x:c>
    </x:row>
    <x:row r="31">
      <x:c r="A31" s="27" t="str">
        <x:v>DS-025</x:v>
      </x:c>
      <x:c r="B31" s="28" t="n">
        <x:v>46294.5</x:v>
      </x:c>
      <x:c r="C31" s="27" t="str">
        <x:v>Document</x:v>
      </x:c>
      <x:c r="D31" s="27" t="str">
        <x:v>Decision log needs plain-language summary</x:v>
      </x:c>
      <x:c r="E31" s="27" t="str">
        <x:v>Low</x:v>
      </x:c>
      <x:c r="F31" s="27" t="str">
        <x:v>Content Editor</x:v>
      </x:c>
      <x:c r="G31" s="27" t="str">
        <x:v>New</x:v>
      </x:c>
      <x:c r="H31" s="28" t="n">
        <x:v>46315.5</x:v>
      </x:c>
      <x:c r="I31" s="28" t="n">
        <x:v>46297.5</x:v>
      </x:c>
      <x:c r="J31" s="27" t="str">
        <x:v>Draft short summary</x:v>
      </x:c>
      <x:c r="K31" s="28"/>
      <x:c r="L31" s="27"/>
      <x:c r="M31" s="27" t="str">
        <x:v>Synthetic document note</x:v>
      </x:c>
      <x:c r="N31" s="29" t="n">
        <x:f>IF(A31="","",IF(OR(B31="",B31&gt;Instructions!$B$4),"",IF(G31="Completed",IF(OR(K31="",K31&lt;B31),"",K31-B31),Instructions!$B$4-B31)))</x:f>
        <x:v>8</x:v>
      </x:c>
      <x:c r="O31" s="27" t="str">
        <x:f>IF(A31="","",IF(AND(G31&lt;&gt;"Completed",H31&lt;Instructions!$B$4,H31&lt;&gt;""),"Yes","No"))</x:f>
        <x:v>No</x:v>
      </x:c>
      <x:c r="P31" s="27" t="str">
        <x:f>IF(A31="","",IF(F31="","Yes","No"))</x:f>
        <x:v>No</x:v>
      </x:c>
      <x:c r="Q31" s="27" t="str">
        <x:f>IF(A31="","",IF(OR(B31="",H31="",I31="",I31&lt;B31,I31&gt;Instructions!$B$4,H31&lt;B31,AND(G31="Completed",OR(K31="",K31&lt;B31,K31&gt;Instructions!$B$4)),AND(G31&lt;&gt;"Completed",K31&lt;&gt;"")),"Review","OK"))</x:f>
        <x:v>OK</x:v>
      </x:c>
      <x:c r="R31" s="27" t="n">
        <x:f>IF(A31="","",IF(G31="Completed",0,1))</x:f>
        <x:v>1</x:v>
      </x:c>
    </x:row>
    <x:row r="32">
      <x:c r="A32" s="27" t="str">
        <x:v>DS-026</x:v>
      </x:c>
      <x:c r="B32" s="28" t="n">
        <x:v>46295.5</x:v>
      </x:c>
      <x:c r="C32" s="27" t="str">
        <x:v>Access</x:v>
      </x:c>
      <x:c r="D32" s="27" t="str">
        <x:v>Guest access request missing sponsor</x:v>
      </x:c>
      <x:c r="E32" s="27" t="str">
        <x:v>Medium</x:v>
      </x:c>
      <x:c r="F32" s="27" t="str">
        <x:v>Access Analyst</x:v>
      </x:c>
      <x:c r="G32" s="27" t="str">
        <x:v>Blocked</x:v>
      </x:c>
      <x:c r="H32" s="28" t="n">
        <x:v>46301.5</x:v>
      </x:c>
      <x:c r="I32" s="28" t="n">
        <x:v>46301.5</x:v>
      </x:c>
      <x:c r="J32" s="27" t="str">
        <x:v>Request named sponsor</x:v>
      </x:c>
      <x:c r="K32" s="28"/>
      <x:c r="L32" s="27" t="str">
        <x:v>Sponsor information missing</x:v>
      </x:c>
      <x:c r="M32" s="27" t="str">
        <x:v>Synthetic access note</x:v>
      </x:c>
      <x:c r="N32" s="29" t="n">
        <x:f>IF(A32="","",IF(OR(B32="",B32&gt;Instructions!$B$4),"",IF(G32="Completed",IF(OR(K32="",K32&lt;B32),"",K32-B32),Instructions!$B$4-B32)))</x:f>
        <x:v>7</x:v>
      </x:c>
      <x:c r="O32" s="27" t="str">
        <x:f>IF(A32="","",IF(AND(G32&lt;&gt;"Completed",H32&lt;Instructions!$B$4,H32&lt;&gt;""),"Yes","No"))</x:f>
        <x:v>Yes</x:v>
      </x:c>
      <x:c r="P32" s="27" t="str">
        <x:f>IF(A32="","",IF(F32="","Yes","No"))</x:f>
        <x:v>No</x:v>
      </x:c>
      <x:c r="Q32" s="27" t="str">
        <x:f>IF(A32="","",IF(OR(B32="",H32="",I32="",I32&lt;B32,I32&gt;Instructions!$B$4,H32&lt;B32,AND(G32="Completed",OR(K32="",K32&lt;B32,K32&gt;Instructions!$B$4)),AND(G32&lt;&gt;"Completed",K32&lt;&gt;"")),"Review","OK"))</x:f>
        <x:v>OK</x:v>
      </x:c>
      <x:c r="R32" s="27" t="n">
        <x:f>IF(A32="","",IF(G32="Completed",0,1))</x:f>
        <x:v>1</x:v>
      </x:c>
    </x:row>
    <x:row r="33">
      <x:c r="A33" s="27" t="str">
        <x:v>DS-027</x:v>
      </x:c>
      <x:c r="B33" s="28" t="n">
        <x:v>46296.5</x:v>
      </x:c>
      <x:c r="C33" s="27" t="str">
        <x:v>Information</x:v>
      </x:c>
      <x:c r="D33" s="27" t="str">
        <x:v>Intake form asks duplicate question</x:v>
      </x:c>
      <x:c r="E33" s="27" t="str">
        <x:v>Low</x:v>
      </x:c>
      <x:c r="F33" s="27" t="str">
        <x:v>Service Coordinator</x:v>
      </x:c>
      <x:c r="G33" s="27" t="str">
        <x:v>In Progress</x:v>
      </x:c>
      <x:c r="H33" s="28" t="n">
        <x:v>46316.5</x:v>
      </x:c>
      <x:c r="I33" s="28" t="n">
        <x:v>46301.5</x:v>
      </x:c>
      <x:c r="J33" s="27" t="str">
        <x:v>Propose form change</x:v>
      </x:c>
      <x:c r="K33" s="28"/>
      <x:c r="L33" s="27"/>
      <x:c r="M33" s="27" t="str">
        <x:v>Synthetic form review</x:v>
      </x:c>
      <x:c r="N33" s="29" t="n">
        <x:f>IF(A33="","",IF(OR(B33="",B33&gt;Instructions!$B$4),"",IF(G33="Completed",IF(OR(K33="",K33&lt;B33),"",K33-B33),Instructions!$B$4-B33)))</x:f>
        <x:v>6</x:v>
      </x:c>
      <x:c r="O33" s="27" t="str">
        <x:f>IF(A33="","",IF(AND(G33&lt;&gt;"Completed",H33&lt;Instructions!$B$4,H33&lt;&gt;""),"Yes","No"))</x:f>
        <x:v>No</x:v>
      </x:c>
      <x:c r="P33" s="27" t="str">
        <x:f>IF(A33="","",IF(F33="","Yes","No"))</x:f>
        <x:v>No</x:v>
      </x:c>
      <x:c r="Q33" s="27" t="str">
        <x:f>IF(A33="","",IF(OR(B33="",H33="",I33="",I33&lt;B33,I33&gt;Instructions!$B$4,H33&lt;B33,AND(G33="Completed",OR(K33="",K33&lt;B33,K33&gt;Instructions!$B$4)),AND(G33&lt;&gt;"Completed",K33&lt;&gt;"")),"Review","OK"))</x:f>
        <x:v>OK</x:v>
      </x:c>
      <x:c r="R33" s="27" t="n">
        <x:f>IF(A33="","",IF(G33="Completed",0,1))</x:f>
        <x:v>1</x:v>
      </x:c>
    </x:row>
    <x:row r="34">
      <x:c r="A34" s="27" t="str">
        <x:v>DS-028</x:v>
      </x:c>
      <x:c r="B34" s="28" t="n">
        <x:v>46296.5</x:v>
      </x:c>
      <x:c r="C34" s="27" t="str">
        <x:v>Reporting</x:v>
      </x:c>
      <x:c r="D34" s="27" t="str">
        <x:v>Briefing table needs category totals</x:v>
      </x:c>
      <x:c r="E34" s="27" t="str">
        <x:v>Medium</x:v>
      </x:c>
      <x:c r="F34" s="27" t="str">
        <x:v>Reporting Analyst</x:v>
      </x:c>
      <x:c r="G34" s="27" t="str">
        <x:v>Completed</x:v>
      </x:c>
      <x:c r="H34" s="28" t="n">
        <x:v>46300.5</x:v>
      </x:c>
      <x:c r="I34" s="28" t="n">
        <x:v>46300.5</x:v>
      </x:c>
      <x:c r="J34" s="27" t="str">
        <x:v>File reconciled totals</x:v>
      </x:c>
      <x:c r="K34" s="28" t="n">
        <x:v>46300.5</x:v>
      </x:c>
      <x:c r="L34" s="27"/>
      <x:c r="M34" s="27" t="str">
        <x:v>Synthetic reporting note</x:v>
      </x:c>
      <x:c r="N34" s="29" t="n">
        <x:f>IF(A34="","",IF(OR(B34="",B34&gt;Instructions!$B$4),"",IF(G34="Completed",IF(OR(K34="",K34&lt;B34),"",K34-B34),Instructions!$B$4-B34)))</x:f>
        <x:v>4</x:v>
      </x:c>
      <x:c r="O34" s="27" t="str">
        <x:f>IF(A34="","",IF(AND(G34&lt;&gt;"Completed",H34&lt;Instructions!$B$4,H34&lt;&gt;""),"Yes","No"))</x:f>
        <x:v>No</x:v>
      </x:c>
      <x:c r="P34" s="27" t="str">
        <x:f>IF(A34="","",IF(F34="","Yes","No"))</x:f>
        <x:v>No</x:v>
      </x:c>
      <x:c r="Q34" s="27" t="str">
        <x:f>IF(A34="","",IF(OR(B34="",H34="",I34="",I34&lt;B34,I34&gt;Instructions!$B$4,H34&lt;B34,AND(G34="Completed",OR(K34="",K34&lt;B34,K34&gt;Instructions!$B$4)),AND(G34&lt;&gt;"Completed",K34&lt;&gt;"")),"Review","OK"))</x:f>
        <x:v>OK</x:v>
      </x:c>
      <x:c r="R34" s="27" t="n">
        <x:f>IF(A34="","",IF(G34="Completed",0,1))</x:f>
        <x:v>0</x:v>
      </x:c>
    </x:row>
    <x:row r="35">
      <x:c r="A35" s="27" t="str">
        <x:v>DS-029</x:v>
      </x:c>
      <x:c r="B35" s="28" t="n">
        <x:v>46297.5</x:v>
      </x:c>
      <x:c r="C35" s="27" t="str">
        <x:v>Workflow</x:v>
      </x:c>
      <x:c r="D35" s="27" t="str">
        <x:v>Status reminder runs on closed item</x:v>
      </x:c>
      <x:c r="E35" s="27" t="str">
        <x:v>Medium</x:v>
      </x:c>
      <x:c r="F35" s="27" t="str">
        <x:v>Workflow Analyst</x:v>
      </x:c>
      <x:c r="G35" s="27" t="str">
        <x:v>New</x:v>
      </x:c>
      <x:c r="H35" s="28" t="n">
        <x:v>46310.5</x:v>
      </x:c>
      <x:c r="I35" s="28" t="n">
        <x:v>46300.5</x:v>
      </x:c>
      <x:c r="J35" s="27" t="str">
        <x:v>Review reminder condition</x:v>
      </x:c>
      <x:c r="K35" s="28"/>
      <x:c r="L35" s="27"/>
      <x:c r="M35" s="27" t="str">
        <x:v>Synthetic automation note</x:v>
      </x:c>
      <x:c r="N35" s="29" t="n">
        <x:f>IF(A35="","",IF(OR(B35="",B35&gt;Instructions!$B$4),"",IF(G35="Completed",IF(OR(K35="",K35&lt;B35),"",K35-B35),Instructions!$B$4-B35)))</x:f>
        <x:v>5</x:v>
      </x:c>
      <x:c r="O35" s="27" t="str">
        <x:f>IF(A35="","",IF(AND(G35&lt;&gt;"Completed",H35&lt;Instructions!$B$4,H35&lt;&gt;""),"Yes","No"))</x:f>
        <x:v>No</x:v>
      </x:c>
      <x:c r="P35" s="27" t="str">
        <x:f>IF(A35="","",IF(F35="","Yes","No"))</x:f>
        <x:v>No</x:v>
      </x:c>
      <x:c r="Q35" s="27" t="str">
        <x:f>IF(A35="","",IF(OR(B35="",H35="",I35="",I35&lt;B35,I35&gt;Instructions!$B$4,H35&lt;B35,AND(G35="Completed",OR(K35="",K35&lt;B35,K35&gt;Instructions!$B$4)),AND(G35&lt;&gt;"Completed",K35&lt;&gt;"")),"Review","OK"))</x:f>
        <x:v>OK</x:v>
      </x:c>
      <x:c r="R35" s="27" t="n">
        <x:f>IF(A35="","",IF(G35="Completed",0,1))</x:f>
        <x:v>1</x:v>
      </x:c>
    </x:row>
    <x:row r="36">
      <x:c r="A36" s="27" t="str">
        <x:v>DS-030</x:v>
      </x:c>
      <x:c r="B36" s="28" t="n">
        <x:v>46297.5</x:v>
      </x:c>
      <x:c r="C36" s="27" t="str">
        <x:v>Document</x:v>
      </x:c>
      <x:c r="D36" s="27" t="str">
        <x:v>Archive index missing owner field</x:v>
      </x:c>
      <x:c r="E36" s="27" t="str">
        <x:v>Low</x:v>
      </x:c>
      <x:c r="F36" s="27" t="str">
        <x:v>Content Editor</x:v>
      </x:c>
      <x:c r="G36" s="27" t="str">
        <x:v>Completed</x:v>
      </x:c>
      <x:c r="H36" s="28" t="n">
        <x:v>46301.5</x:v>
      </x:c>
      <x:c r="I36" s="28" t="n">
        <x:v>46301.5</x:v>
      </x:c>
      <x:c r="J36" s="27" t="str">
        <x:v>Update archive index</x:v>
      </x:c>
      <x:c r="K36" s="28" t="n">
        <x:v>46301.5</x:v>
      </x:c>
      <x:c r="L36" s="27"/>
      <x:c r="M36" s="27" t="str">
        <x:v>Synthetic archive note</x:v>
      </x:c>
      <x:c r="N36" s="29" t="n">
        <x:f>IF(A36="","",IF(OR(B36="",B36&gt;Instructions!$B$4),"",IF(G36="Completed",IF(OR(K36="",K36&lt;B36),"",K36-B36),Instructions!$B$4-B36)))</x:f>
        <x:v>4</x:v>
      </x:c>
      <x:c r="O36" s="27" t="str">
        <x:f>IF(A36="","",IF(AND(G36&lt;&gt;"Completed",H36&lt;Instructions!$B$4,H36&lt;&gt;""),"Yes","No"))</x:f>
        <x:v>No</x:v>
      </x:c>
      <x:c r="P36" s="27" t="str">
        <x:f>IF(A36="","",IF(F36="","Yes","No"))</x:f>
        <x:v>No</x:v>
      </x:c>
      <x:c r="Q36" s="27" t="str">
        <x:f>IF(A36="","",IF(OR(B36="",H36="",I36="",I36&lt;B36,I36&gt;Instructions!$B$4,H36&lt;B36,AND(G36="Completed",OR(K36="",K36&lt;B36,K36&gt;Instructions!$B$4)),AND(G36&lt;&gt;"Completed",K36&lt;&gt;"")),"Review","OK"))</x:f>
        <x:v>OK</x:v>
      </x:c>
      <x:c r="R36" s="27" t="n">
        <x:f>IF(A36="","",IF(G36="Completed",0,1))</x:f>
        <x:v>0</x:v>
      </x:c>
    </x:row>
    <x:row r="37">
      <x:c r="A37" s="27" t="str">
        <x:v>DS-031</x:v>
      </x:c>
      <x:c r="B37" s="28" t="n">
        <x:v>46298.5</x:v>
      </x:c>
      <x:c r="C37" s="27" t="str">
        <x:v>Access</x:v>
      </x:c>
      <x:c r="D37" s="27" t="str">
        <x:v>Permission exception needs review</x:v>
      </x:c>
      <x:c r="E37" s="27" t="str">
        <x:v>High</x:v>
      </x:c>
      <x:c r="F37" s="27" t="str">
        <x:v>Access Analyst</x:v>
      </x:c>
      <x:c r="G37" s="27" t="str">
        <x:v>In Progress</x:v>
      </x:c>
      <x:c r="H37" s="28" t="n">
        <x:v>46303.5</x:v>
      </x:c>
      <x:c r="I37" s="28" t="n">
        <x:v>46301.5</x:v>
      </x:c>
      <x:c r="J37" s="27" t="str">
        <x:v>Check exception rationale</x:v>
      </x:c>
      <x:c r="K37" s="28"/>
      <x:c r="L37" s="27"/>
      <x:c r="M37" s="27" t="str">
        <x:v>Synthetic access note</x:v>
      </x:c>
      <x:c r="N37" s="29" t="n">
        <x:f>IF(A37="","",IF(OR(B37="",B37&gt;Instructions!$B$4),"",IF(G37="Completed",IF(OR(K37="",K37&lt;B37),"",K37-B37),Instructions!$B$4-B37)))</x:f>
        <x:v>4</x:v>
      </x:c>
      <x:c r="O37" s="27" t="str">
        <x:f>IF(A37="","",IF(AND(G37&lt;&gt;"Completed",H37&lt;Instructions!$B$4,H37&lt;&gt;""),"Yes","No"))</x:f>
        <x:v>No</x:v>
      </x:c>
      <x:c r="P37" s="27" t="str">
        <x:f>IF(A37="","",IF(F37="","Yes","No"))</x:f>
        <x:v>No</x:v>
      </x:c>
      <x:c r="Q37" s="27" t="str">
        <x:f>IF(A37="","",IF(OR(B37="",H37="",I37="",I37&lt;B37,I37&gt;Instructions!$B$4,H37&lt;B37,AND(G37="Completed",OR(K37="",K37&lt;B37,K37&gt;Instructions!$B$4)),AND(G37&lt;&gt;"Completed",K37&lt;&gt;"")),"Review","OK"))</x:f>
        <x:v>OK</x:v>
      </x:c>
      <x:c r="R37" s="27" t="n">
        <x:f>IF(A37="","",IF(G37="Completed",0,1))</x:f>
        <x:v>1</x:v>
      </x:c>
    </x:row>
    <x:row r="38">
      <x:c r="A38" s="27" t="str">
        <x:v>DS-032</x:v>
      </x:c>
      <x:c r="B38" s="28" t="n">
        <x:v>46298.5</x:v>
      </x:c>
      <x:c r="C38" s="27" t="str">
        <x:v>Information</x:v>
      </x:c>
      <x:c r="D38" s="27" t="str">
        <x:v>Submission lacks service category</x:v>
      </x:c>
      <x:c r="E38" s="27" t="str">
        <x:v>Medium</x:v>
      </x:c>
      <x:c r="F38" s="27"/>
      <x:c r="G38" s="27" t="str">
        <x:v>New</x:v>
      </x:c>
      <x:c r="H38" s="28" t="n">
        <x:v>46306.5</x:v>
      </x:c>
      <x:c r="I38" s="28" t="n">
        <x:v>46300.5</x:v>
      </x:c>
      <x:c r="J38" s="27" t="str">
        <x:v>Assign coordinator and classify</x:v>
      </x:c>
      <x:c r="K38" s="28"/>
      <x:c r="L38" s="27" t="str">
        <x:v>Classification pending</x:v>
      </x:c>
      <x:c r="M38" s="27" t="str">
        <x:v>Synthetic intake note</x:v>
      </x:c>
      <x:c r="N38" s="29" t="n">
        <x:f>IF(A38="","",IF(OR(B38="",B38&gt;Instructions!$B$4),"",IF(G38="Completed",IF(OR(K38="",K38&lt;B38),"",K38-B38),Instructions!$B$4-B38)))</x:f>
        <x:v>4</x:v>
      </x:c>
      <x:c r="O38" s="27" t="str">
        <x:f>IF(A38="","",IF(AND(G38&lt;&gt;"Completed",H38&lt;Instructions!$B$4,H38&lt;&gt;""),"Yes","No"))</x:f>
        <x:v>No</x:v>
      </x:c>
      <x:c r="P38" s="27" t="str">
        <x:f>IF(A38="","",IF(F38="","Yes","No"))</x:f>
        <x:v>Yes</x:v>
      </x:c>
      <x:c r="Q38" s="27" t="str">
        <x:f>IF(A38="","",IF(OR(B38="",H38="",I38="",I38&lt;B38,I38&gt;Instructions!$B$4,H38&lt;B38,AND(G38="Completed",OR(K38="",K38&lt;B38,K38&gt;Instructions!$B$4)),AND(G38&lt;&gt;"Completed",K38&lt;&gt;"")),"Review","OK"))</x:f>
        <x:v>OK</x:v>
      </x:c>
      <x:c r="R38" s="27" t="n">
        <x:f>IF(A38="","",IF(G38="Completed",0,1))</x:f>
        <x:v>1</x:v>
      </x:c>
    </x:row>
    <x:row r="39">
      <x:c r="A39" s="27" t="str">
        <x:v>DS-033</x:v>
      </x:c>
      <x:c r="B39" s="28" t="n">
        <x:v>46299.5</x:v>
      </x:c>
      <x:c r="C39" s="27" t="str">
        <x:v>Reporting</x:v>
      </x:c>
      <x:c r="D39" s="27" t="str">
        <x:v>Completed record lacks close date</x:v>
      </x:c>
      <x:c r="E39" s="27" t="str">
        <x:v>Medium</x:v>
      </x:c>
      <x:c r="F39" s="27" t="str">
        <x:v>Reporting Analyst</x:v>
      </x:c>
      <x:c r="G39" s="27" t="str">
        <x:v>Completed</x:v>
      </x:c>
      <x:c r="H39" s="28" t="n">
        <x:v>46301.5</x:v>
      </x:c>
      <x:c r="I39" s="28" t="n">
        <x:v>46301.5</x:v>
      </x:c>
      <x:c r="J39" s="27" t="str">
        <x:v>Confirm closure date and correct record</x:v>
      </x:c>
      <x:c r="K39" s="28"/>
      <x:c r="L39" s="27"/>
      <x:c r="M39" s="27" t="str">
        <x:v>Synthetic deliberate status inconsistency</x:v>
      </x:c>
      <x:c r="N39" s="29" t="str">
        <x:f>IF(A39="","",IF(OR(B39="",B39&gt;Instructions!$B$4),"",IF(G39="Completed",IF(OR(K39="",K39&lt;B39),"",K39-B39),Instructions!$B$4-B39)))</x:f>
      </x:c>
      <x:c r="O39" s="27" t="str">
        <x:f>IF(A39="","",IF(AND(G39&lt;&gt;"Completed",H39&lt;Instructions!$B$4,H39&lt;&gt;""),"Yes","No"))</x:f>
        <x:v>No</x:v>
      </x:c>
      <x:c r="P39" s="27" t="str">
        <x:f>IF(A39="","",IF(F39="","Yes","No"))</x:f>
        <x:v>No</x:v>
      </x:c>
      <x:c r="Q39" s="27" t="str">
        <x:f>IF(A39="","",IF(OR(B39="",H39="",I39="",I39&lt;B39,I39&gt;Instructions!$B$4,H39&lt;B39,AND(G39="Completed",OR(K39="",K39&lt;B39,K39&gt;Instructions!$B$4)),AND(G39&lt;&gt;"Completed",K39&lt;&gt;"")),"Review","OK"))</x:f>
        <x:v>Review</x:v>
      </x:c>
      <x:c r="R39" s="27" t="n">
        <x:f>IF(A39="","",IF(G39="Completed",0,1))</x:f>
        <x:v>0</x:v>
      </x:c>
    </x:row>
    <x:row r="40">
      <x:c r="A40" s="27" t="str">
        <x:v>DS-034</x:v>
      </x:c>
      <x:c r="B40" s="28" t="n">
        <x:v>46299.5</x:v>
      </x:c>
      <x:c r="C40" s="27" t="str">
        <x:v>Workflow</x:v>
      </x:c>
      <x:c r="D40" s="27" t="str">
        <x:v>Target date precedes received date</x:v>
      </x:c>
      <x:c r="E40" s="27" t="str">
        <x:v>Medium</x:v>
      </x:c>
      <x:c r="F40" s="27" t="str">
        <x:v>Workflow Analyst</x:v>
      </x:c>
      <x:c r="G40" s="27" t="str">
        <x:v>In Progress</x:v>
      </x:c>
      <x:c r="H40" s="28" t="n">
        <x:v>46297.5</x:v>
      </x:c>
      <x:c r="I40" s="28" t="n">
        <x:v>46301.5</x:v>
      </x:c>
      <x:c r="J40" s="27" t="str">
        <x:v>Confirm target date with requester</x:v>
      </x:c>
      <x:c r="K40" s="28"/>
      <x:c r="L40" s="27"/>
      <x:c r="M40" s="27" t="str">
        <x:v>Synthetic deliberate date inconsistency</x:v>
      </x:c>
      <x:c r="N40" s="29" t="n">
        <x:f>IF(A40="","",IF(OR(B40="",B40&gt;Instructions!$B$4),"",IF(G40="Completed",IF(OR(K40="",K40&lt;B40),"",K40-B40),Instructions!$B$4-B40)))</x:f>
        <x:v>3</x:v>
      </x:c>
      <x:c r="O40" s="27" t="str">
        <x:f>IF(A40="","",IF(AND(G40&lt;&gt;"Completed",H40&lt;Instructions!$B$4,H40&lt;&gt;""),"Yes","No"))</x:f>
        <x:v>Yes</x:v>
      </x:c>
      <x:c r="P40" s="27" t="str">
        <x:f>IF(A40="","",IF(F40="","Yes","No"))</x:f>
        <x:v>No</x:v>
      </x:c>
      <x:c r="Q40" s="27" t="str">
        <x:f>IF(A40="","",IF(OR(B40="",H40="",I40="",I40&lt;B40,I40&gt;Instructions!$B$4,H40&lt;B40,AND(G40="Completed",OR(K40="",K40&lt;B40,K40&gt;Instructions!$B$4)),AND(G40&lt;&gt;"Completed",K40&lt;&gt;"")),"Review","OK"))</x:f>
        <x:v>Review</x:v>
      </x:c>
      <x:c r="R40" s="27" t="n">
        <x:f>IF(A40="","",IF(G40="Completed",0,1))</x:f>
        <x:v>1</x:v>
      </x:c>
    </x:row>
    <x:row r="41">
      <x:c r="A41" s="27" t="str">
        <x:v>DS-035</x:v>
      </x:c>
      <x:c r="B41" s="28" t="n">
        <x:v>46300.5</x:v>
      </x:c>
      <x:c r="C41" s="27" t="str">
        <x:v>Document</x:v>
      </x:c>
      <x:c r="D41" s="27" t="str">
        <x:v>New template title needs review</x:v>
      </x:c>
      <x:c r="E41" s="27" t="str">
        <x:v>Low</x:v>
      </x:c>
      <x:c r="F41" s="27" t="str">
        <x:v>Content Editor</x:v>
      </x:c>
      <x:c r="G41" s="27" t="str">
        <x:v>New</x:v>
      </x:c>
      <x:c r="H41" s="28" t="n">
        <x:v>46314.5</x:v>
      </x:c>
      <x:c r="I41" s="28" t="n">
        <x:v>46301.5</x:v>
      </x:c>
      <x:c r="J41" s="27" t="str">
        <x:v>Review title and file name</x:v>
      </x:c>
      <x:c r="K41" s="28"/>
      <x:c r="L41" s="27"/>
      <x:c r="M41" s="27" t="str">
        <x:v>Synthetic document note</x:v>
      </x:c>
      <x:c r="N41" s="29" t="n">
        <x:f>IF(A41="","",IF(OR(B41="",B41&gt;Instructions!$B$4),"",IF(G41="Completed",IF(OR(K41="",K41&lt;B41),"",K41-B41),Instructions!$B$4-B41)))</x:f>
        <x:v>2</x:v>
      </x:c>
      <x:c r="O41" s="27" t="str">
        <x:f>IF(A41="","",IF(AND(G41&lt;&gt;"Completed",H41&lt;Instructions!$B$4,H41&lt;&gt;""),"Yes","No"))</x:f>
        <x:v>No</x:v>
      </x:c>
      <x:c r="P41" s="27" t="str">
        <x:f>IF(A41="","",IF(F41="","Yes","No"))</x:f>
        <x:v>No</x:v>
      </x:c>
      <x:c r="Q41" s="27" t="str">
        <x:f>IF(A41="","",IF(OR(B41="",H41="",I41="",I41&lt;B41,I41&gt;Instructions!$B$4,H41&lt;B41,AND(G41="Completed",OR(K41="",K41&lt;B41,K41&gt;Instructions!$B$4)),AND(G41&lt;&gt;"Completed",K41&lt;&gt;"")),"Review","OK"))</x:f>
        <x:v>OK</x:v>
      </x:c>
      <x:c r="R41" s="27" t="n">
        <x:f>IF(A41="","",IF(G41="Completed",0,1))</x:f>
        <x:v>1</x:v>
      </x:c>
    </x:row>
    <x:row r="42">
      <x:c r="A42" s="27" t="str">
        <x:v>DS-036</x:v>
      </x:c>
      <x:c r="B42" s="28" t="n">
        <x:v>46301.5</x:v>
      </x:c>
      <x:c r="C42" s="27" t="str">
        <x:v>Access</x:v>
      </x:c>
      <x:c r="D42" s="27" t="str">
        <x:v>Access review list needs owner signoff</x:v>
      </x:c>
      <x:c r="E42" s="27" t="str">
        <x:v>Medium</x:v>
      </x:c>
      <x:c r="F42" s="27" t="str">
        <x:v>Access Analyst</x:v>
      </x:c>
      <x:c r="G42" s="27" t="str">
        <x:v>New</x:v>
      </x:c>
      <x:c r="H42" s="28" t="n">
        <x:v>46312.5</x:v>
      </x:c>
      <x:c r="I42" s="28" t="n">
        <x:v>46301.5</x:v>
      </x:c>
      <x:c r="J42" s="27" t="str">
        <x:v>Send list to access owner</x:v>
      </x:c>
      <x:c r="K42" s="28"/>
      <x:c r="L42" s="27"/>
      <x:c r="M42" s="27" t="str">
        <x:v>Synthetic access note</x:v>
      </x:c>
      <x:c r="N42" s="29" t="n">
        <x:f>IF(A42="","",IF(OR(B42="",B42&gt;Instructions!$B$4),"",IF(G42="Completed",IF(OR(K42="",K42&lt;B42),"",K42-B42),Instructions!$B$4-B42)))</x:f>
        <x:v>1</x:v>
      </x:c>
      <x:c r="O42" s="27" t="str">
        <x:f>IF(A42="","",IF(AND(G42&lt;&gt;"Completed",H42&lt;Instructions!$B$4,H42&lt;&gt;""),"Yes","No"))</x:f>
        <x:v>No</x:v>
      </x:c>
      <x:c r="P42" s="27" t="str">
        <x:f>IF(A42="","",IF(F42="","Yes","No"))</x:f>
        <x:v>No</x:v>
      </x:c>
      <x:c r="Q42" s="27" t="str">
        <x:f>IF(A42="","",IF(OR(B42="",H42="",I42="",I42&lt;B42,I42&gt;Instructions!$B$4,H42&lt;B42,AND(G42="Completed",OR(K42="",K42&lt;B42,K42&gt;Instructions!$B$4)),AND(G42&lt;&gt;"Completed",K42&lt;&gt;"")),"Review","OK"))</x:f>
        <x:v>OK</x:v>
      </x:c>
      <x:c r="R42" s="27" t="n">
        <x:f>IF(A42="","",IF(G42="Completed",0,1))</x:f>
        <x:v>1</x:v>
      </x:c>
    </x:row>
    <x:row r="43">
      <x:c r="B43" s="1"/>
      <x:c r="H43" s="1"/>
      <x:c r="I43" s="1"/>
      <x:c r="K43" s="1"/>
      <x:c r="N43" s="17"/>
    </x:row>
    <x:row r="44">
      <x:c r="B44" s="1"/>
      <x:c r="H44" s="1"/>
      <x:c r="I44" s="1"/>
      <x:c r="K44" s="1"/>
      <x:c r="N44" s="17"/>
    </x:row>
    <x:row r="45">
      <x:c r="B45" s="1"/>
      <x:c r="H45" s="1"/>
      <x:c r="I45" s="1"/>
      <x:c r="K45" s="1"/>
      <x:c r="N45" s="17"/>
    </x:row>
    <x:row r="46">
      <x:c r="B46" s="1"/>
      <x:c r="H46" s="1"/>
      <x:c r="I46" s="1"/>
      <x:c r="K46" s="1"/>
      <x:c r="N46" s="17"/>
    </x:row>
    <x:row r="47">
      <x:c r="B47" s="1"/>
      <x:c r="H47" s="1"/>
      <x:c r="I47" s="1"/>
      <x:c r="K47" s="1"/>
      <x:c r="N47" s="17"/>
    </x:row>
    <x:row r="48">
      <x:c r="B48" s="1"/>
      <x:c r="H48" s="1"/>
      <x:c r="I48" s="1"/>
      <x:c r="K48" s="1"/>
      <x:c r="N48" s="17"/>
    </x:row>
    <x:row r="49">
      <x:c r="B49" s="1"/>
      <x:c r="H49" s="1"/>
      <x:c r="I49" s="1"/>
      <x:c r="K49" s="1"/>
      <x:c r="N49" s="17"/>
    </x:row>
    <x:row r="50">
      <x:c r="B50" s="1"/>
      <x:c r="H50" s="1"/>
      <x:c r="I50" s="1"/>
      <x:c r="K50" s="1"/>
      <x:c r="N50" s="17"/>
    </x:row>
    <x:row r="51">
      <x:c r="B51" s="1"/>
      <x:c r="H51" s="1"/>
      <x:c r="I51" s="1"/>
      <x:c r="K51" s="1"/>
      <x:c r="N51" s="17"/>
    </x:row>
    <x:row r="52">
      <x:c r="B52" s="1"/>
      <x:c r="H52" s="1"/>
      <x:c r="I52" s="1"/>
      <x:c r="K52" s="1"/>
      <x:c r="N52" s="17"/>
    </x:row>
    <x:row r="53">
      <x:c r="B53" s="1"/>
      <x:c r="H53" s="1"/>
      <x:c r="I53" s="1"/>
      <x:c r="K53" s="1"/>
      <x:c r="N53" s="17"/>
    </x:row>
    <x:row r="54">
      <x:c r="B54" s="1"/>
      <x:c r="H54" s="1"/>
      <x:c r="I54" s="1"/>
      <x:c r="K54" s="1"/>
      <x:c r="N54" s="17"/>
    </x:row>
    <x:row r="55">
      <x:c r="B55" s="1"/>
      <x:c r="H55" s="1"/>
      <x:c r="I55" s="1"/>
      <x:c r="K55" s="1"/>
      <x:c r="N55" s="17"/>
    </x:row>
    <x:row r="56">
      <x:c r="B56" s="1"/>
      <x:c r="H56" s="1"/>
      <x:c r="I56" s="1"/>
      <x:c r="K56" s="1"/>
      <x:c r="N56" s="17"/>
    </x:row>
    <x:row r="57">
      <x:c r="B57" s="1"/>
      <x:c r="H57" s="1"/>
      <x:c r="I57" s="1"/>
      <x:c r="K57" s="1"/>
      <x:c r="N57" s="17"/>
    </x:row>
    <x:row r="58">
      <x:c r="B58" s="1"/>
      <x:c r="H58" s="1"/>
      <x:c r="I58" s="1"/>
      <x:c r="K58" s="1"/>
      <x:c r="N58" s="17"/>
    </x:row>
    <x:row r="59">
      <x:c r="B59" s="1"/>
      <x:c r="H59" s="1"/>
      <x:c r="I59" s="1"/>
      <x:c r="K59" s="1"/>
      <x:c r="N59" s="17"/>
    </x:row>
    <x:row r="60">
      <x:c r="B60" s="1"/>
      <x:c r="H60" s="1"/>
      <x:c r="I60" s="1"/>
      <x:c r="K60" s="1"/>
      <x:c r="N60" s="17"/>
    </x:row>
    <x:row r="61">
      <x:c r="B61" s="1"/>
      <x:c r="H61" s="1"/>
      <x:c r="I61" s="1"/>
      <x:c r="K61" s="1"/>
      <x:c r="N61" s="17"/>
    </x:row>
    <x:row r="62">
      <x:c r="B62" s="1"/>
      <x:c r="H62" s="1"/>
      <x:c r="I62" s="1"/>
      <x:c r="K62" s="1"/>
      <x:c r="N62" s="17"/>
    </x:row>
    <x:row r="63">
      <x:c r="B63" s="1"/>
      <x:c r="H63" s="1"/>
      <x:c r="I63" s="1"/>
      <x:c r="K63" s="1"/>
      <x:c r="N63" s="17"/>
    </x:row>
    <x:row r="64">
      <x:c r="B64" s="1"/>
      <x:c r="H64" s="1"/>
      <x:c r="I64" s="1"/>
      <x:c r="K64" s="1"/>
      <x:c r="N64" s="17"/>
    </x:row>
    <x:row r="65">
      <x:c r="B65" s="1"/>
      <x:c r="H65" s="1"/>
      <x:c r="I65" s="1"/>
      <x:c r="K65" s="1"/>
      <x:c r="N65" s="17"/>
    </x:row>
    <x:row r="66">
      <x:c r="B66" s="1"/>
      <x:c r="H66" s="1"/>
      <x:c r="I66" s="1"/>
      <x:c r="K66" s="1"/>
      <x:c r="N66" s="17"/>
    </x:row>
    <x:row r="67">
      <x:c r="B67" s="1"/>
      <x:c r="H67" s="1"/>
      <x:c r="I67" s="1"/>
      <x:c r="K67" s="1"/>
      <x:c r="N67" s="17"/>
    </x:row>
    <x:row r="68">
      <x:c r="B68" s="1"/>
      <x:c r="H68" s="1"/>
      <x:c r="I68" s="1"/>
      <x:c r="K68" s="1"/>
      <x:c r="N68" s="17"/>
    </x:row>
    <x:row r="69">
      <x:c r="B69" s="1"/>
      <x:c r="H69" s="1"/>
      <x:c r="I69" s="1"/>
      <x:c r="K69" s="1"/>
      <x:c r="N69" s="17"/>
    </x:row>
    <x:row r="70">
      <x:c r="B70" s="1"/>
      <x:c r="H70" s="1"/>
      <x:c r="I70" s="1"/>
      <x:c r="K70" s="1"/>
      <x:c r="N70" s="17"/>
    </x:row>
    <x:row r="71">
      <x:c r="B71" s="1"/>
      <x:c r="H71" s="1"/>
      <x:c r="I71" s="1"/>
      <x:c r="K71" s="1"/>
      <x:c r="N71" s="17"/>
    </x:row>
    <x:row r="72">
      <x:c r="B72" s="1"/>
      <x:c r="H72" s="1"/>
      <x:c r="I72" s="1"/>
      <x:c r="K72" s="1"/>
      <x:c r="N72" s="17"/>
    </x:row>
    <x:row r="73">
      <x:c r="B73" s="1"/>
      <x:c r="H73" s="1"/>
      <x:c r="I73" s="1"/>
      <x:c r="K73" s="1"/>
      <x:c r="N73" s="17"/>
    </x:row>
    <x:row r="74">
      <x:c r="B74" s="1"/>
      <x:c r="H74" s="1"/>
      <x:c r="I74" s="1"/>
      <x:c r="K74" s="1"/>
      <x:c r="N74" s="17"/>
    </x:row>
    <x:row r="75">
      <x:c r="B75" s="1"/>
      <x:c r="H75" s="1"/>
      <x:c r="I75" s="1"/>
      <x:c r="K75" s="1"/>
      <x:c r="N75" s="17"/>
    </x:row>
    <x:row r="76">
      <x:c r="B76" s="1"/>
      <x:c r="H76" s="1"/>
      <x:c r="I76" s="1"/>
      <x:c r="K76" s="1"/>
      <x:c r="N76" s="17"/>
    </x:row>
    <x:row r="77">
      <x:c r="B77" s="1"/>
      <x:c r="H77" s="1"/>
      <x:c r="I77" s="1"/>
      <x:c r="K77" s="1"/>
      <x:c r="N77" s="17"/>
    </x:row>
    <x:row r="78">
      <x:c r="B78" s="1"/>
      <x:c r="H78" s="1"/>
      <x:c r="I78" s="1"/>
      <x:c r="K78" s="1"/>
      <x:c r="N78" s="17"/>
    </x:row>
    <x:row r="79">
      <x:c r="B79" s="1"/>
      <x:c r="H79" s="1"/>
      <x:c r="I79" s="1"/>
      <x:c r="K79" s="1"/>
      <x:c r="N79" s="17"/>
    </x:row>
    <x:row r="80">
      <x:c r="B80" s="1"/>
      <x:c r="H80" s="1"/>
      <x:c r="I80" s="1"/>
      <x:c r="K80" s="1"/>
      <x:c r="N80" s="17"/>
    </x:row>
    <x:row r="81">
      <x:c r="B81" s="1"/>
      <x:c r="H81" s="1"/>
      <x:c r="I81" s="1"/>
      <x:c r="K81" s="1"/>
      <x:c r="N81" s="17"/>
    </x:row>
    <x:row r="82">
      <x:c r="B82" s="1"/>
      <x:c r="H82" s="1"/>
      <x:c r="I82" s="1"/>
      <x:c r="K82" s="1"/>
      <x:c r="N82" s="17"/>
    </x:row>
    <x:row r="83">
      <x:c r="B83" s="1"/>
      <x:c r="H83" s="1"/>
      <x:c r="I83" s="1"/>
      <x:c r="K83" s="1"/>
      <x:c r="N83" s="17"/>
    </x:row>
    <x:row r="84">
      <x:c r="B84" s="1"/>
      <x:c r="H84" s="1"/>
      <x:c r="I84" s="1"/>
      <x:c r="K84" s="1"/>
      <x:c r="N84" s="17"/>
    </x:row>
    <x:row r="85">
      <x:c r="B85" s="1"/>
      <x:c r="H85" s="1"/>
      <x:c r="I85" s="1"/>
      <x:c r="K85" s="1"/>
      <x:c r="N85" s="17"/>
    </x:row>
    <x:row r="86">
      <x:c r="B86" s="1"/>
      <x:c r="H86" s="1"/>
      <x:c r="I86" s="1"/>
      <x:c r="K86" s="1"/>
      <x:c r="N86" s="17"/>
    </x:row>
    <x:row r="87">
      <x:c r="B87" s="1"/>
      <x:c r="H87" s="1"/>
      <x:c r="I87" s="1"/>
      <x:c r="K87" s="1"/>
      <x:c r="N87" s="17"/>
    </x:row>
    <x:row r="88">
      <x:c r="B88" s="1"/>
      <x:c r="H88" s="1"/>
      <x:c r="I88" s="1"/>
      <x:c r="K88" s="1"/>
      <x:c r="N88" s="17"/>
    </x:row>
    <x:row r="89">
      <x:c r="B89" s="1"/>
      <x:c r="H89" s="1"/>
      <x:c r="I89" s="1"/>
      <x:c r="K89" s="1"/>
      <x:c r="N89" s="17"/>
    </x:row>
    <x:row r="90">
      <x:c r="B90" s="1"/>
      <x:c r="H90" s="1"/>
      <x:c r="I90" s="1"/>
      <x:c r="K90" s="1"/>
      <x:c r="N90" s="17"/>
    </x:row>
    <x:row r="91">
      <x:c r="B91" s="1"/>
      <x:c r="H91" s="1"/>
      <x:c r="I91" s="1"/>
      <x:c r="K91" s="1"/>
      <x:c r="N91" s="17"/>
    </x:row>
    <x:row r="92">
      <x:c r="B92" s="1"/>
      <x:c r="H92" s="1"/>
      <x:c r="I92" s="1"/>
      <x:c r="K92" s="1"/>
      <x:c r="N92" s="17"/>
    </x:row>
    <x:row r="93">
      <x:c r="B93" s="1"/>
      <x:c r="H93" s="1"/>
      <x:c r="I93" s="1"/>
      <x:c r="K93" s="1"/>
      <x:c r="N93" s="17"/>
    </x:row>
    <x:row r="94">
      <x:c r="B94" s="1"/>
      <x:c r="H94" s="1"/>
      <x:c r="I94" s="1"/>
      <x:c r="K94" s="1"/>
      <x:c r="N94" s="17"/>
    </x:row>
    <x:row r="95">
      <x:c r="B95" s="1"/>
      <x:c r="H95" s="1"/>
      <x:c r="I95" s="1"/>
      <x:c r="K95" s="1"/>
      <x:c r="N95" s="17"/>
    </x:row>
    <x:row r="96">
      <x:c r="B96" s="1"/>
      <x:c r="H96" s="1"/>
      <x:c r="I96" s="1"/>
      <x:c r="K96" s="1"/>
      <x:c r="N96" s="17"/>
    </x:row>
    <x:row r="97">
      <x:c r="B97" s="1"/>
      <x:c r="H97" s="1"/>
      <x:c r="I97" s="1"/>
      <x:c r="K97" s="1"/>
      <x:c r="N97" s="17"/>
    </x:row>
    <x:row r="98">
      <x:c r="B98" s="1"/>
      <x:c r="H98" s="1"/>
      <x:c r="I98" s="1"/>
      <x:c r="K98" s="1"/>
      <x:c r="N98" s="17"/>
    </x:row>
    <x:row r="99">
      <x:c r="B99" s="1"/>
      <x:c r="H99" s="1"/>
      <x:c r="I99" s="1"/>
      <x:c r="K99" s="1"/>
      <x:c r="N99" s="17"/>
    </x:row>
    <x:row r="100">
      <x:c r="B100" s="1"/>
      <x:c r="H100" s="1"/>
      <x:c r="I100" s="1"/>
      <x:c r="K100" s="1"/>
      <x:c r="N100" s="17"/>
    </x:row>
    <x:row r="101">
      <x:c r="B101" s="1"/>
      <x:c r="H101" s="1"/>
      <x:c r="I101" s="1"/>
      <x:c r="K101" s="1"/>
      <x:c r="N101" s="17"/>
    </x:row>
    <x:row r="102">
      <x:c r="B102" s="1"/>
      <x:c r="H102" s="1"/>
      <x:c r="I102" s="1"/>
      <x:c r="K102" s="1"/>
      <x:c r="N102" s="17"/>
    </x:row>
    <x:row r="103">
      <x:c r="B103" s="1"/>
      <x:c r="H103" s="1"/>
      <x:c r="I103" s="1"/>
      <x:c r="K103" s="1"/>
      <x:c r="N103" s="17"/>
    </x:row>
    <x:row r="104">
      <x:c r="B104" s="1"/>
      <x:c r="H104" s="1"/>
      <x:c r="I104" s="1"/>
      <x:c r="K104" s="1"/>
      <x:c r="N104" s="17"/>
    </x:row>
    <x:row r="105">
      <x:c r="B105" s="1"/>
      <x:c r="H105" s="1"/>
      <x:c r="I105" s="1"/>
      <x:c r="K105" s="1"/>
      <x:c r="N105" s="17"/>
    </x:row>
    <x:row r="106">
      <x:c r="B106" s="1"/>
      <x:c r="H106" s="1"/>
      <x:c r="I106" s="1"/>
      <x:c r="K106" s="1"/>
      <x:c r="N106" s="17"/>
    </x:row>
    <x:row r="107">
      <x:c r="B107" s="1"/>
      <x:c r="H107" s="1"/>
      <x:c r="I107" s="1"/>
      <x:c r="K107" s="1"/>
      <x:c r="N107" s="17"/>
    </x:row>
    <x:row r="108">
      <x:c r="B108" s="1"/>
      <x:c r="H108" s="1"/>
      <x:c r="I108" s="1"/>
      <x:c r="K108" s="1"/>
      <x:c r="N108" s="17"/>
    </x:row>
    <x:row r="109">
      <x:c r="B109" s="1"/>
      <x:c r="H109" s="1"/>
      <x:c r="I109" s="1"/>
      <x:c r="K109" s="1"/>
      <x:c r="N109" s="17"/>
    </x:row>
    <x:row r="110">
      <x:c r="B110" s="1"/>
      <x:c r="H110" s="1"/>
      <x:c r="I110" s="1"/>
      <x:c r="K110" s="1"/>
      <x:c r="N110" s="17"/>
    </x:row>
    <x:row r="111">
      <x:c r="B111" s="1"/>
      <x:c r="H111" s="1"/>
      <x:c r="I111" s="1"/>
      <x:c r="K111" s="1"/>
      <x:c r="N111" s="17"/>
    </x:row>
    <x:row r="112">
      <x:c r="B112" s="1"/>
      <x:c r="H112" s="1"/>
      <x:c r="I112" s="1"/>
      <x:c r="K112" s="1"/>
      <x:c r="N112" s="17"/>
    </x:row>
    <x:row r="113">
      <x:c r="B113" s="1"/>
      <x:c r="H113" s="1"/>
      <x:c r="I113" s="1"/>
      <x:c r="K113" s="1"/>
      <x:c r="N113" s="17"/>
    </x:row>
    <x:row r="114">
      <x:c r="B114" s="1"/>
      <x:c r="H114" s="1"/>
      <x:c r="I114" s="1"/>
      <x:c r="K114" s="1"/>
      <x:c r="N114" s="17"/>
    </x:row>
    <x:row r="115">
      <x:c r="B115" s="1"/>
      <x:c r="H115" s="1"/>
      <x:c r="I115" s="1"/>
      <x:c r="K115" s="1"/>
      <x:c r="N115" s="17"/>
    </x:row>
    <x:row r="116">
      <x:c r="B116" s="1"/>
      <x:c r="H116" s="1"/>
      <x:c r="I116" s="1"/>
      <x:c r="K116" s="1"/>
      <x:c r="N116" s="17"/>
    </x:row>
    <x:row r="117">
      <x:c r="B117" s="1"/>
      <x:c r="H117" s="1"/>
      <x:c r="I117" s="1"/>
      <x:c r="K117" s="1"/>
      <x:c r="N117" s="17"/>
    </x:row>
    <x:row r="118">
      <x:c r="B118" s="1"/>
      <x:c r="H118" s="1"/>
      <x:c r="I118" s="1"/>
      <x:c r="K118" s="1"/>
      <x:c r="N118" s="17"/>
    </x:row>
    <x:row r="119">
      <x:c r="B119" s="1"/>
      <x:c r="H119" s="1"/>
      <x:c r="I119" s="1"/>
      <x:c r="K119" s="1"/>
      <x:c r="N119" s="17"/>
    </x:row>
    <x:row r="120">
      <x:c r="B120" s="1"/>
      <x:c r="H120" s="1"/>
      <x:c r="I120" s="1"/>
      <x:c r="K120" s="1"/>
      <x:c r="N120" s="17"/>
    </x:row>
    <x:row r="121">
      <x:c r="B121" s="1"/>
      <x:c r="H121" s="1"/>
      <x:c r="I121" s="1"/>
      <x:c r="K121" s="1"/>
      <x:c r="N121" s="17"/>
    </x:row>
    <x:row r="122">
      <x:c r="B122" s="1"/>
      <x:c r="H122" s="1"/>
      <x:c r="I122" s="1"/>
      <x:c r="K122" s="1"/>
      <x:c r="N122" s="17"/>
    </x:row>
    <x:row r="123">
      <x:c r="B123" s="1"/>
      <x:c r="H123" s="1"/>
      <x:c r="I123" s="1"/>
      <x:c r="K123" s="1"/>
      <x:c r="N123" s="17"/>
    </x:row>
    <x:row r="124">
      <x:c r="B124" s="1"/>
      <x:c r="H124" s="1"/>
      <x:c r="I124" s="1"/>
      <x:c r="K124" s="1"/>
      <x:c r="N124" s="17"/>
    </x:row>
    <x:row r="125">
      <x:c r="B125" s="1"/>
      <x:c r="H125" s="1"/>
      <x:c r="I125" s="1"/>
      <x:c r="K125" s="1"/>
      <x:c r="N125" s="17"/>
    </x:row>
    <x:row r="126">
      <x:c r="B126" s="1"/>
      <x:c r="H126" s="1"/>
      <x:c r="I126" s="1"/>
      <x:c r="K126" s="1"/>
      <x:c r="N126" s="17"/>
    </x:row>
    <x:row r="127">
      <x:c r="B127" s="1"/>
      <x:c r="H127" s="1"/>
      <x:c r="I127" s="1"/>
      <x:c r="K127" s="1"/>
      <x:c r="N127" s="17"/>
    </x:row>
    <x:row r="128">
      <x:c r="B128" s="1"/>
      <x:c r="H128" s="1"/>
      <x:c r="I128" s="1"/>
      <x:c r="K128" s="1"/>
      <x:c r="N128" s="17"/>
    </x:row>
    <x:row r="129">
      <x:c r="B129" s="1"/>
      <x:c r="H129" s="1"/>
      <x:c r="I129" s="1"/>
      <x:c r="K129" s="1"/>
      <x:c r="N129" s="17"/>
    </x:row>
    <x:row r="130">
      <x:c r="B130" s="1"/>
      <x:c r="H130" s="1"/>
      <x:c r="I130" s="1"/>
      <x:c r="K130" s="1"/>
      <x:c r="N130" s="17"/>
    </x:row>
    <x:row r="131">
      <x:c r="B131" s="1"/>
      <x:c r="H131" s="1"/>
      <x:c r="I131" s="1"/>
      <x:c r="K131" s="1"/>
      <x:c r="N131" s="17"/>
    </x:row>
    <x:row r="132">
      <x:c r="B132" s="1"/>
      <x:c r="H132" s="1"/>
      <x:c r="I132" s="1"/>
      <x:c r="K132" s="1"/>
      <x:c r="N132" s="17"/>
    </x:row>
    <x:row r="133">
      <x:c r="B133" s="1"/>
      <x:c r="H133" s="1"/>
      <x:c r="I133" s="1"/>
      <x:c r="K133" s="1"/>
      <x:c r="N133" s="17"/>
    </x:row>
    <x:row r="134">
      <x:c r="B134" s="1"/>
      <x:c r="H134" s="1"/>
      <x:c r="I134" s="1"/>
      <x:c r="K134" s="1"/>
      <x:c r="N134" s="17"/>
    </x:row>
    <x:row r="135">
      <x:c r="B135" s="1"/>
      <x:c r="H135" s="1"/>
      <x:c r="I135" s="1"/>
      <x:c r="K135" s="1"/>
      <x:c r="N135" s="17"/>
    </x:row>
    <x:row r="136">
      <x:c r="B136" s="1"/>
      <x:c r="H136" s="1"/>
      <x:c r="I136" s="1"/>
      <x:c r="K136" s="1"/>
      <x:c r="N136" s="17"/>
    </x:row>
    <x:row r="137">
      <x:c r="B137" s="1"/>
      <x:c r="H137" s="1"/>
      <x:c r="I137" s="1"/>
      <x:c r="K137" s="1"/>
      <x:c r="N137" s="17"/>
    </x:row>
    <x:row r="138">
      <x:c r="B138" s="1"/>
      <x:c r="H138" s="1"/>
      <x:c r="I138" s="1"/>
      <x:c r="K138" s="1"/>
      <x:c r="N138" s="17"/>
    </x:row>
    <x:row r="139">
      <x:c r="B139" s="1"/>
      <x:c r="H139" s="1"/>
      <x:c r="I139" s="1"/>
      <x:c r="K139" s="1"/>
      <x:c r="N139" s="17"/>
    </x:row>
    <x:row r="140">
      <x:c r="B140" s="1"/>
      <x:c r="H140" s="1"/>
      <x:c r="I140" s="1"/>
      <x:c r="K140" s="1"/>
      <x:c r="N140" s="17"/>
    </x:row>
    <x:row r="141">
      <x:c r="B141" s="1"/>
      <x:c r="H141" s="1"/>
      <x:c r="I141" s="1"/>
      <x:c r="K141" s="1"/>
      <x:c r="N141" s="17"/>
    </x:row>
    <x:row r="142">
      <x:c r="B142" s="1"/>
      <x:c r="H142" s="1"/>
      <x:c r="I142" s="1"/>
      <x:c r="K142" s="1"/>
      <x:c r="N142" s="17"/>
    </x:row>
    <x:row r="143">
      <x:c r="B143" s="1"/>
      <x:c r="H143" s="1"/>
      <x:c r="I143" s="1"/>
      <x:c r="K143" s="1"/>
      <x:c r="N143" s="17"/>
    </x:row>
    <x:row r="144">
      <x:c r="B144" s="1"/>
      <x:c r="H144" s="1"/>
      <x:c r="I144" s="1"/>
      <x:c r="K144" s="1"/>
      <x:c r="N144" s="17"/>
    </x:row>
    <x:row r="145">
      <x:c r="B145" s="1"/>
      <x:c r="H145" s="1"/>
      <x:c r="I145" s="1"/>
      <x:c r="K145" s="1"/>
      <x:c r="N145" s="17"/>
    </x:row>
    <x:row r="146">
      <x:c r="B146" s="1"/>
      <x:c r="H146" s="1"/>
      <x:c r="I146" s="1"/>
      <x:c r="K146" s="1"/>
      <x:c r="N146" s="17"/>
    </x:row>
    <x:row r="147">
      <x:c r="B147" s="1"/>
      <x:c r="H147" s="1"/>
      <x:c r="I147" s="1"/>
      <x:c r="K147" s="1"/>
      <x:c r="N147" s="17"/>
    </x:row>
    <x:row r="148">
      <x:c r="B148" s="1"/>
      <x:c r="H148" s="1"/>
      <x:c r="I148" s="1"/>
      <x:c r="K148" s="1"/>
      <x:c r="N148" s="17"/>
    </x:row>
    <x:row r="149">
      <x:c r="B149" s="1"/>
      <x:c r="H149" s="1"/>
      <x:c r="I149" s="1"/>
      <x:c r="K149" s="1"/>
      <x:c r="N149" s="17"/>
    </x:row>
    <x:row r="150">
      <x:c r="B150" s="1"/>
      <x:c r="H150" s="1"/>
      <x:c r="I150" s="1"/>
      <x:c r="K150" s="1"/>
      <x:c r="N150" s="17"/>
    </x:row>
    <x:row r="151">
      <x:c r="B151" s="1"/>
      <x:c r="H151" s="1"/>
      <x:c r="I151" s="1"/>
      <x:c r="K151" s="1"/>
      <x:c r="N151" s="17"/>
    </x:row>
    <x:row r="152">
      <x:c r="B152" s="1"/>
      <x:c r="H152" s="1"/>
      <x:c r="I152" s="1"/>
      <x:c r="K152" s="1"/>
      <x:c r="N152" s="17"/>
    </x:row>
    <x:row r="153">
      <x:c r="B153" s="1"/>
      <x:c r="H153" s="1"/>
      <x:c r="I153" s="1"/>
      <x:c r="K153" s="1"/>
      <x:c r="N153" s="17"/>
    </x:row>
    <x:row r="154">
      <x:c r="B154" s="1"/>
      <x:c r="H154" s="1"/>
      <x:c r="I154" s="1"/>
      <x:c r="K154" s="1"/>
      <x:c r="N154" s="17"/>
    </x:row>
    <x:row r="155">
      <x:c r="B155" s="1"/>
      <x:c r="H155" s="1"/>
      <x:c r="I155" s="1"/>
      <x:c r="K155" s="1"/>
      <x:c r="N155" s="17"/>
    </x:row>
    <x:row r="156">
      <x:c r="B156" s="1"/>
      <x:c r="H156" s="1"/>
      <x:c r="I156" s="1"/>
      <x:c r="K156" s="1"/>
      <x:c r="N156" s="17"/>
    </x:row>
    <x:row r="157">
      <x:c r="B157" s="1"/>
      <x:c r="H157" s="1"/>
      <x:c r="I157" s="1"/>
      <x:c r="K157" s="1"/>
      <x:c r="N157" s="17"/>
    </x:row>
    <x:row r="158">
      <x:c r="B158" s="1"/>
      <x:c r="H158" s="1"/>
      <x:c r="I158" s="1"/>
      <x:c r="K158" s="1"/>
      <x:c r="N158" s="17"/>
    </x:row>
    <x:row r="159">
      <x:c r="B159" s="1"/>
      <x:c r="H159" s="1"/>
      <x:c r="I159" s="1"/>
      <x:c r="K159" s="1"/>
      <x:c r="N159" s="17"/>
    </x:row>
    <x:row r="160">
      <x:c r="B160" s="1"/>
      <x:c r="H160" s="1"/>
      <x:c r="I160" s="1"/>
      <x:c r="K160" s="1"/>
      <x:c r="N160" s="17"/>
    </x:row>
    <x:row r="161">
      <x:c r="B161" s="1"/>
      <x:c r="H161" s="1"/>
      <x:c r="I161" s="1"/>
      <x:c r="K161" s="1"/>
      <x:c r="N161" s="17"/>
    </x:row>
    <x:row r="162">
      <x:c r="B162" s="1"/>
      <x:c r="H162" s="1"/>
      <x:c r="I162" s="1"/>
      <x:c r="K162" s="1"/>
      <x:c r="N162" s="17"/>
    </x:row>
    <x:row r="163">
      <x:c r="B163" s="1"/>
      <x:c r="H163" s="1"/>
      <x:c r="I163" s="1"/>
      <x:c r="K163" s="1"/>
      <x:c r="N163" s="17"/>
    </x:row>
    <x:row r="164">
      <x:c r="B164" s="1"/>
      <x:c r="H164" s="1"/>
      <x:c r="I164" s="1"/>
      <x:c r="K164" s="1"/>
      <x:c r="N164" s="17"/>
    </x:row>
    <x:row r="165">
      <x:c r="B165" s="1"/>
      <x:c r="H165" s="1"/>
      <x:c r="I165" s="1"/>
      <x:c r="K165" s="1"/>
      <x:c r="N165" s="17"/>
    </x:row>
    <x:row r="166">
      <x:c r="B166" s="1"/>
      <x:c r="H166" s="1"/>
      <x:c r="I166" s="1"/>
      <x:c r="K166" s="1"/>
      <x:c r="N166" s="17"/>
    </x:row>
    <x:row r="167">
      <x:c r="B167" s="1"/>
      <x:c r="H167" s="1"/>
      <x:c r="I167" s="1"/>
      <x:c r="K167" s="1"/>
      <x:c r="N167" s="17"/>
    </x:row>
    <x:row r="168">
      <x:c r="B168" s="1"/>
      <x:c r="H168" s="1"/>
      <x:c r="I168" s="1"/>
      <x:c r="K168" s="1"/>
      <x:c r="N168" s="17"/>
    </x:row>
    <x:row r="169">
      <x:c r="B169" s="1"/>
      <x:c r="H169" s="1"/>
      <x:c r="I169" s="1"/>
      <x:c r="K169" s="1"/>
      <x:c r="N169" s="17"/>
    </x:row>
    <x:row r="170">
      <x:c r="B170" s="1"/>
      <x:c r="H170" s="1"/>
      <x:c r="I170" s="1"/>
      <x:c r="K170" s="1"/>
      <x:c r="N170" s="17"/>
    </x:row>
    <x:row r="171">
      <x:c r="B171" s="1"/>
      <x:c r="H171" s="1"/>
      <x:c r="I171" s="1"/>
      <x:c r="K171" s="1"/>
      <x:c r="N171" s="17"/>
    </x:row>
    <x:row r="172">
      <x:c r="B172" s="1"/>
      <x:c r="H172" s="1"/>
      <x:c r="I172" s="1"/>
      <x:c r="K172" s="1"/>
      <x:c r="N172" s="17"/>
    </x:row>
    <x:row r="173">
      <x:c r="B173" s="1"/>
      <x:c r="H173" s="1"/>
      <x:c r="I173" s="1"/>
      <x:c r="K173" s="1"/>
      <x:c r="N173" s="17"/>
    </x:row>
    <x:row r="174">
      <x:c r="B174" s="1"/>
      <x:c r="H174" s="1"/>
      <x:c r="I174" s="1"/>
      <x:c r="K174" s="1"/>
      <x:c r="N174" s="17"/>
    </x:row>
    <x:row r="175">
      <x:c r="B175" s="1"/>
      <x:c r="H175" s="1"/>
      <x:c r="I175" s="1"/>
      <x:c r="K175" s="1"/>
      <x:c r="N175" s="17"/>
    </x:row>
    <x:row r="176">
      <x:c r="B176" s="1"/>
      <x:c r="H176" s="1"/>
      <x:c r="I176" s="1"/>
      <x:c r="K176" s="1"/>
      <x:c r="N176" s="17"/>
    </x:row>
    <x:row r="177">
      <x:c r="B177" s="1"/>
      <x:c r="H177" s="1"/>
      <x:c r="I177" s="1"/>
      <x:c r="K177" s="1"/>
      <x:c r="N177" s="17"/>
    </x:row>
    <x:row r="178">
      <x:c r="B178" s="1"/>
      <x:c r="H178" s="1"/>
      <x:c r="I178" s="1"/>
      <x:c r="K178" s="1"/>
      <x:c r="N178" s="17"/>
    </x:row>
    <x:row r="179">
      <x:c r="B179" s="1"/>
      <x:c r="H179" s="1"/>
      <x:c r="I179" s="1"/>
      <x:c r="K179" s="1"/>
      <x:c r="N179" s="17"/>
    </x:row>
    <x:row r="180">
      <x:c r="B180" s="1"/>
      <x:c r="H180" s="1"/>
      <x:c r="I180" s="1"/>
      <x:c r="K180" s="1"/>
      <x:c r="N180" s="17"/>
    </x:row>
    <x:row r="181">
      <x:c r="B181" s="1"/>
      <x:c r="H181" s="1"/>
      <x:c r="I181" s="1"/>
      <x:c r="K181" s="1"/>
      <x:c r="N181" s="17"/>
    </x:row>
    <x:row r="182">
      <x:c r="B182" s="1"/>
      <x:c r="H182" s="1"/>
      <x:c r="I182" s="1"/>
      <x:c r="K182" s="1"/>
      <x:c r="N182" s="17"/>
    </x:row>
    <x:row r="183">
      <x:c r="B183" s="1"/>
      <x:c r="H183" s="1"/>
      <x:c r="I183" s="1"/>
      <x:c r="K183" s="1"/>
      <x:c r="N183" s="17"/>
    </x:row>
    <x:row r="184">
      <x:c r="B184" s="1"/>
      <x:c r="H184" s="1"/>
      <x:c r="I184" s="1"/>
      <x:c r="K184" s="1"/>
      <x:c r="N184" s="17"/>
    </x:row>
    <x:row r="185">
      <x:c r="B185" s="1"/>
      <x:c r="H185" s="1"/>
      <x:c r="I185" s="1"/>
      <x:c r="K185" s="1"/>
      <x:c r="N185" s="17"/>
    </x:row>
    <x:row r="186">
      <x:c r="B186" s="1"/>
      <x:c r="H186" s="1"/>
      <x:c r="I186" s="1"/>
      <x:c r="K186" s="1"/>
      <x:c r="N186" s="17"/>
    </x:row>
    <x:row r="187">
      <x:c r="B187" s="1"/>
      <x:c r="H187" s="1"/>
      <x:c r="I187" s="1"/>
      <x:c r="K187" s="1"/>
      <x:c r="N187" s="17"/>
    </x:row>
    <x:row r="188">
      <x:c r="B188" s="1"/>
      <x:c r="H188" s="1"/>
      <x:c r="I188" s="1"/>
      <x:c r="K188" s="1"/>
      <x:c r="N188" s="17"/>
    </x:row>
    <x:row r="189">
      <x:c r="B189" s="1"/>
      <x:c r="H189" s="1"/>
      <x:c r="I189" s="1"/>
      <x:c r="K189" s="1"/>
      <x:c r="N189" s="17"/>
    </x:row>
    <x:row r="190">
      <x:c r="B190" s="1"/>
      <x:c r="H190" s="1"/>
      <x:c r="I190" s="1"/>
      <x:c r="K190" s="1"/>
      <x:c r="N190" s="17"/>
    </x:row>
    <x:row r="191">
      <x:c r="B191" s="1"/>
      <x:c r="H191" s="1"/>
      <x:c r="I191" s="1"/>
      <x:c r="K191" s="1"/>
      <x:c r="N191" s="17"/>
    </x:row>
    <x:row r="192">
      <x:c r="B192" s="1"/>
      <x:c r="H192" s="1"/>
      <x:c r="I192" s="1"/>
      <x:c r="K192" s="1"/>
      <x:c r="N192" s="17"/>
    </x:row>
    <x:row r="193">
      <x:c r="B193" s="1"/>
      <x:c r="H193" s="1"/>
      <x:c r="I193" s="1"/>
      <x:c r="K193" s="1"/>
      <x:c r="N193" s="17"/>
    </x:row>
    <x:row r="194">
      <x:c r="B194" s="1"/>
      <x:c r="H194" s="1"/>
      <x:c r="I194" s="1"/>
      <x:c r="K194" s="1"/>
      <x:c r="N194" s="17"/>
    </x:row>
    <x:row r="195">
      <x:c r="B195" s="1"/>
      <x:c r="H195" s="1"/>
      <x:c r="I195" s="1"/>
      <x:c r="K195" s="1"/>
      <x:c r="N195" s="17"/>
    </x:row>
    <x:row r="196">
      <x:c r="B196" s="1"/>
      <x:c r="H196" s="1"/>
      <x:c r="I196" s="1"/>
      <x:c r="K196" s="1"/>
      <x:c r="N196" s="17"/>
    </x:row>
    <x:row r="197">
      <x:c r="B197" s="1"/>
      <x:c r="H197" s="1"/>
      <x:c r="I197" s="1"/>
      <x:c r="K197" s="1"/>
      <x:c r="N197" s="17"/>
    </x:row>
    <x:row r="198">
      <x:c r="B198" s="1"/>
      <x:c r="H198" s="1"/>
      <x:c r="I198" s="1"/>
      <x:c r="K198" s="1"/>
      <x:c r="N198" s="17"/>
    </x:row>
    <x:row r="199">
      <x:c r="B199" s="1"/>
      <x:c r="H199" s="1"/>
      <x:c r="I199" s="1"/>
      <x:c r="K199" s="1"/>
      <x:c r="N199" s="17"/>
    </x:row>
    <x:row r="200">
      <x:c r="B200" s="1"/>
      <x:c r="H200" s="1"/>
      <x:c r="I200" s="1"/>
      <x:c r="K200" s="1"/>
      <x:c r="N200" s="17"/>
    </x:row>
  </x:sheetData>
  <x:mergeCells>
    <x:mergeCell ref="A1:R1"/>
    <x:mergeCell ref="A2:R2"/>
  </x:mergeCells>
  <x:conditionalFormatting sqref="O7:O200">
    <x:cfRule type="containsText" dxfId="0" priority="1" operator="containsText" text="Yes"/>
  </x:conditionalFormatting>
  <x:conditionalFormatting sqref="P7:P200">
    <x:cfRule type="containsText" dxfId="1" priority="2" operator="containsText" text="Yes"/>
  </x:conditionalFormatting>
  <x:conditionalFormatting sqref="Q7:Q200">
    <x:cfRule type="containsText" dxfId="2" priority="3" operator="containsText" text="Review"/>
  </x:conditionalFormatting>
  <x:dataValidations count="2">
    <x:dataValidation type="list" sqref="E7:E200">
      <x:formula1>"Low,Medium,High"</x:formula1>
    </x:dataValidation>
    <x:dataValidation type="list" sqref="G7:G200">
      <x:formula1>"New,In Progress,Blocked,Completed"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31bcb34ec042b1"/>
  </x:tableParts>
</x:worksheet>
</file>

<file path=xl/worksheets/sheet3.xml><?xml version="1.0" encoding="utf-8"?>
<x:worksheet xmlns:x="http://schemas.openxmlformats.org/spreadsheetml/2006/main">
  <x:sheetPr>
    <x:tabColor rgb="FFD59B3D"/>
  </x:sheetPr>
  <x:sheetViews>
    <x:sheetView showGridLines="0" workbookViewId="0"/>
  </x:sheetViews>
  <x:sheetFormatPr defaultRowHeight="15"/>
  <x:cols>
    <x:col min="1" max="1" width="23" hidden="0" customWidth="1"/>
    <x:col min="2" max="2" width="68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11" t="str">
        <x:v>Operations request tracker</x:v>
      </x:c>
      <x:c r="B1" s="11"/>
      <x:c r="C1" s="11"/>
      <x:c r="D1" s="11"/>
      <x:c r="E1" s="11"/>
    </x:row>
    <x:row r="2">
      <x:c r="A2" s="12" t="str">
        <x:v>Personal portfolio simulation | All requests and roles are synthetic</x:v>
      </x:c>
      <x:c r="B2" s="12"/>
      <x:c r="C2" s="12"/>
      <x:c r="D2" s="12"/>
      <x:c r="E2" s="12"/>
    </x:row>
    <x:row r="3">
      <x:c r="A3" s="13"/>
      <x:c r="B3" s="13"/>
      <x:c r="C3" s="13"/>
      <x:c r="D3" s="13"/>
      <x:c r="E3" s="13"/>
    </x:row>
    <x:row r="4">
      <x:c r="A4" s="14" t="str">
        <x:v>Report as of date</x:v>
      </x:c>
      <x:c r="B4" s="15" t="n">
        <x:v>46302.5</x:v>
      </x:c>
      <x:c r="C4" s="13"/>
      <x:c r="D4" s="13"/>
      <x:c r="E4" s="13"/>
    </x:row>
    <x:row r="5">
      <x:c r="A5" s="13"/>
      <x:c r="B5" s="13"/>
      <x:c r="C5" s="13"/>
      <x:c r="D5" s="13"/>
      <x:c r="E5" s="13"/>
    </x:row>
    <x:row r="6" ht="30" customHeight="1">
      <x:c r="A6" s="16" t="str">
        <x:v>Rule</x:v>
      </x:c>
      <x:c r="B6" s="16" t="str">
        <x:v>Definition</x:v>
      </x:c>
      <x:c r="C6" s="13"/>
      <x:c r="D6" s="13"/>
      <x:c r="E6" s="13"/>
    </x:row>
    <x:row r="7" ht="30" customHeight="1">
      <x:c r="A7" s="13" t="str">
        <x:v>Open</x:v>
      </x:c>
      <x:c r="B7" s="13" t="str">
        <x:v>Any populated request whose status is not Completed</x:v>
      </x:c>
      <x:c r="C7" s="13"/>
      <x:c r="D7" s="13"/>
      <x:c r="E7" s="13"/>
    </x:row>
    <x:row r="8" ht="30" customHeight="1">
      <x:c r="A8" s="13" t="str">
        <x:v>Overdue</x:v>
      </x:c>
      <x:c r="B8" s="13" t="str">
        <x:v>Open with a target date earlier than the as-of date</x:v>
      </x:c>
      <x:c r="C8" s="13"/>
      <x:c r="D8" s="13"/>
      <x:c r="E8" s="13"/>
    </x:row>
    <x:row r="9" ht="30" customHeight="1">
      <x:c r="A9" s="13" t="str">
        <x:v>Blocked</x:v>
      </x:c>
      <x:c r="B9" s="13" t="str">
        <x:v>Open request with status Blocked; it may also be overdue</x:v>
      </x:c>
      <x:c r="C9" s="13"/>
      <x:c r="D9" s="13"/>
      <x:c r="E9" s="13"/>
    </x:row>
    <x:row r="10" ht="30" customHeight="1">
      <x:c r="A10" s="13" t="str">
        <x:v>Completed</x:v>
      </x:c>
      <x:c r="B10" s="13" t="str">
        <x:v>Status Completed, regardless of whether data quality needs review</x:v>
      </x:c>
      <x:c r="C10" s="13"/>
      <x:c r="D10" s="13"/>
      <x:c r="E10" s="13"/>
    </x:row>
    <x:row r="11" ht="30" customHeight="1">
      <x:c r="A11" s="13" t="str">
        <x:v>Age days</x:v>
      </x:c>
      <x:c r="B11" s="13" t="str">
        <x:v>Open: as-of minus received; Completed: closed minus received</x:v>
      </x:c>
      <x:c r="C11" s="13"/>
      <x:c r="D11" s="13"/>
      <x:c r="E11" s="13"/>
    </x:row>
    <x:row r="12">
      <x:c r="A12" s="13"/>
      <x:c r="B12" s="13"/>
      <x:c r="C12" s="13"/>
      <x:c r="D12" s="13"/>
      <x:c r="E12" s="13"/>
    </x:row>
    <x:row r="13" ht="28" customHeight="1">
      <x:c r="A13" s="13" t="str">
        <x:v>Edit the date above to view a different tracker snapshot; the PDF and slides stay fixed at 2026-10-07.</x:v>
      </x:c>
      <x:c r="B13" s="13"/>
      <x:c r="C13" s="13"/>
      <x:c r="D13" s="13"/>
      <x:c r="E13" s="13"/>
    </x:row>
    <x:row r="14" ht="28" customHeight="1">
      <x:c r="A14" s="13"/>
      <x:c r="B14" s="13"/>
      <x:c r="C14" s="13"/>
      <x:c r="D14" s="13"/>
      <x:c r="E14" s="13"/>
    </x:row>
    <x:row r="15" ht="28" customHeight="1">
      <x:c r="A15" s="13" t="str">
        <x:v>To add a row, extend the Requests table. If calculated cells do not fill automatically, copy N:R from the previous row.</x:v>
      </x:c>
      <x:c r="B15" s="13"/>
      <x:c r="C15" s="13"/>
      <x:c r="D15" s="13"/>
      <x:c r="E15" s="13"/>
    </x:row>
    <x:row r="16" ht="28" customHeight="1">
      <x:c r="A16" s="13"/>
      <x:c r="B16" s="13"/>
      <x:c r="C16" s="13"/>
      <x:c r="D16" s="13"/>
      <x:c r="E16" s="13"/>
    </x:row>
    <x:row r="17" ht="28" customHeight="1">
      <x:c r="A17" s="13" t="str">
        <x:v>Check Data issue before relying on Overdue. One invalid target is in the baseline overdue count.</x:v>
      </x:c>
      <x:c r="B17" s="13"/>
      <x:c r="C17" s="13"/>
      <x:c r="D17" s="13"/>
      <x:c r="E17" s="13"/>
    </x:row>
    <x:row r="18">
      <x:c r="A18" s="13"/>
      <x:c r="B18" s="13"/>
      <x:c r="C18" s="13"/>
      <x:c r="D18" s="13"/>
      <x:c r="E18" s="13"/>
    </x:row>
  </x:sheetData>
  <x:mergeCells>
    <x:mergeCell ref="A1:E1"/>
    <x:mergeCell ref="A2:E2"/>
    <x:mergeCell ref="A13:E13"/>
    <x:mergeCell ref="A15:E15"/>
    <x:mergeCell ref="A17:E17"/>
  </x:mergeCells>
  <x:pageMargins left="0.7" right="0.7" top="0.75" bottom="0.75" header="0.3" footer="0.3"/>
</x:worksheet>
</file>